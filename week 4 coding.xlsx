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ca969074167f58f/CODING CHALEENGE/"/>
    </mc:Choice>
  </mc:AlternateContent>
  <xr:revisionPtr revIDLastSave="3" documentId="8_{384C325A-034B-2742-BCA1-17AC8639D8C6}" xr6:coauthVersionLast="47" xr6:coauthVersionMax="47" xr10:uidLastSave="{E877B32B-23D6-42CC-B554-A5832812DE48}"/>
  <bookViews>
    <workbookView xWindow="-120" yWindow="-120" windowWidth="20730" windowHeight="11160" activeTab="3" xr2:uid="{00000000-000D-0000-FFFF-FFFF00000000}"/>
  </bookViews>
  <sheets>
    <sheet name="Sales" sheetId="1" r:id="rId1"/>
    <sheet name="sheet 1" sheetId="11" r:id="rId2"/>
    <sheet name="pivot relationships" sheetId="7" r:id="rId3"/>
    <sheet name="Date &amp;Time" sheetId="4" r:id="rId4"/>
    <sheet name="Dashboard" sheetId="12" r:id="rId5"/>
    <sheet name="justifi" sheetId="14" r:id="rId6"/>
  </sheets>
  <definedNames>
    <definedName name="_xlnm._FilterDatabase" localSheetId="0" hidden="1">Sales!$A$1:$I$11</definedName>
    <definedName name="_xlcn.WorksheetConnection_DateTimeA1K111" hidden="1">'Date &amp;Time'!$A$1:$K$11</definedName>
    <definedName name="_xlcn.WorksheetConnection_DateTimeE1E61" hidden="1">'Date &amp;Time'!$E$1:$E$6</definedName>
    <definedName name="_xlcn.WorksheetConnection_SalesA1I121" hidden="1">Sales!$A$1:$I$12</definedName>
    <definedName name="Slicer_SalesAmount">#N/A</definedName>
    <definedName name="Timeline_Time">#N/A</definedName>
    <definedName name="Timeline_Time1">#N/A</definedName>
  </definedNames>
  <calcPr calcId="181029"/>
  <pivotCaches>
    <pivotCache cacheId="404" r:id="rId7"/>
    <pivotCache cacheId="417" r:id="rId8"/>
  </pivotCaches>
  <extLst>
    <ext xmlns:x14="http://schemas.microsoft.com/office/spreadsheetml/2009/9/main" uri="{876F7934-8845-4945-9796-88D515C7AA90}">
      <x14:pivotCaches>
        <pivotCache cacheId="420"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19" r:id="rId11"/>
        <pivotCache cacheId="430" r:id="rId12"/>
      </x15:timelineCachePivotCaches>
    </ext>
    <ext xmlns:x15="http://schemas.microsoft.com/office/spreadsheetml/2010/11/main" uri="{D0CA8CA8-9F24-4464-BF8E-62219DCF47F9}">
      <x15:timelineCacheRefs>
        <x15:timelineCacheRef r:id="rId13"/>
        <x15:timelineCacheRef r:id="rId14"/>
      </x15:timelineCacheRefs>
    </ext>
    <ext xmlns:x15="http://schemas.microsoft.com/office/spreadsheetml/2010/11/main" uri="{FCE2AD5D-F65C-4FA6-A056-5C36A1767C68}">
      <x15:dataModel>
        <x15:modelTables>
          <x15:modelTable id="Range" name="Range" connection="WorksheetConnection_Date &amp;Time!$E$1:$E$6"/>
          <x15:modelTable id="Range 1" name="Range 1" connection="WorksheetConnection_Date &amp;Time!$A$1:$K$11"/>
          <x15:modelTable id="Range 2" name="Range 2" connection="WorksheetConnection_Sales!$A$1:$I$12"/>
        </x15:modelTables>
        <x15:modelRelationships>
          <x15:modelRelationship fromTable="Range 1" fromColumn="ProductID" toTable="Range" toColumn="Time"/>
          <x15:modelRelationship fromTable="Range 2" fromColumn="RegionName" toTable="Range 1" toColumn="OrderID"/>
        </x15:modelRelationships>
        <x15:extLst>
          <ext xmlns:x16="http://schemas.microsoft.com/office/spreadsheetml/2014/11/main" uri="{9835A34E-60A6-4A7C-AAB8-D5F71C897F49}">
            <x16:modelTimeGroupings>
              <x16:modelTimeGrouping tableName="Range" columnName="Time" columnId="Time">
                <x16:calculatedTimeColumn columnName="Time (Hour)" columnId="Time (Hour)" contentType="hours" isSelected="1"/>
                <x16:calculatedTimeColumn columnName="Time (Minute)" columnId="Time (Minute)" contentType="minutes" isSelected="1"/>
                <x16:calculatedTimeColumn columnName="Time (Second)" columnId="Time (Second)" contentType="seconds" isSelected="1"/>
              </x16:modelTimeGrouping>
              <x16:modelTimeGrouping tableName="Range 1" columnName="Time" columnId="Time">
                <x16:calculatedTimeColumn columnName="Time (Hour)" columnId="Time (Hour)" contentType="hours" isSelected="1"/>
                <x16:calculatedTimeColumn columnName="Time (Minute)" columnId="Time (Minute)" contentType="minutes" isSelected="1"/>
                <x16:calculatedTimeColumn columnName="Time (Second)" columnId="Time (Second)" contentType="seconds" isSelected="1"/>
              </x16:modelTimeGrouping>
            </x16:modelTimeGroupings>
          </ext>
        </x15:extLst>
      </x15:dataModel>
    </ext>
  </extLst>
</workbook>
</file>

<file path=xl/calcChain.xml><?xml version="1.0" encoding="utf-8"?>
<calcChain xmlns="http://schemas.openxmlformats.org/spreadsheetml/2006/main">
  <c r="N3" i="4" l="1"/>
  <c r="N4" i="4"/>
  <c r="N5" i="4"/>
  <c r="N6" i="4"/>
  <c r="N7" i="4"/>
  <c r="N8" i="4"/>
  <c r="N9" i="4"/>
  <c r="N10" i="4"/>
  <c r="N11" i="4"/>
  <c r="N2" i="4"/>
  <c r="M4" i="4"/>
  <c r="M5" i="4"/>
  <c r="M6" i="4"/>
  <c r="M7" i="4"/>
  <c r="M8" i="4"/>
  <c r="M9" i="4"/>
  <c r="M10" i="4"/>
  <c r="M11" i="4"/>
  <c r="E11" i="4"/>
  <c r="E10" i="4"/>
  <c r="E8" i="4"/>
  <c r="E6" i="4"/>
  <c r="E3" i="4"/>
  <c r="E4" i="4"/>
  <c r="E5" i="4"/>
  <c r="M3" i="4"/>
  <c r="M2" i="4"/>
  <c r="L3" i="4"/>
  <c r="L4" i="4"/>
  <c r="L5" i="4"/>
  <c r="L6" i="4"/>
  <c r="L7" i="4"/>
  <c r="L8" i="4"/>
  <c r="L9" i="4"/>
  <c r="L10" i="4"/>
  <c r="L11" i="4"/>
  <c r="L2" i="4"/>
  <c r="E7" i="4"/>
  <c r="E9" i="4"/>
  <c r="E2" i="4"/>
  <c r="D3" i="4"/>
  <c r="D4" i="4"/>
  <c r="D5" i="4"/>
  <c r="D6" i="4"/>
  <c r="D7" i="4"/>
  <c r="D8" i="4"/>
  <c r="D9" i="4"/>
  <c r="D10" i="4"/>
  <c r="D11" i="4"/>
  <c r="D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CDD23E-1075-4157-8ED5-BB79B424F3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1B7014A-D1E6-4081-80C4-94538EB1E4BF}" name="WorksheetConnection_Date &amp;Time!$A$1:$K$11" type="102" refreshedVersion="8" minRefreshableVersion="5">
    <extLst>
      <ext xmlns:x15="http://schemas.microsoft.com/office/spreadsheetml/2010/11/main" uri="{DE250136-89BD-433C-8126-D09CA5730AF9}">
        <x15:connection id="Range 1" autoDelete="1">
          <x15:rangePr sourceName="_xlcn.WorksheetConnection_DateTimeA1K111"/>
        </x15:connection>
      </ext>
    </extLst>
  </connection>
  <connection id="3" xr16:uid="{C69DA273-E7D9-4086-9D5B-E67C0C434A3D}" name="WorksheetConnection_Date &amp;Time!$E$1:$E$6" type="102" refreshedVersion="8" minRefreshableVersion="5">
    <extLst>
      <ext xmlns:x15="http://schemas.microsoft.com/office/spreadsheetml/2010/11/main" uri="{DE250136-89BD-433C-8126-D09CA5730AF9}">
        <x15:connection id="Range" autoDelete="1">
          <x15:rangePr sourceName="_xlcn.WorksheetConnection_DateTimeE1E61"/>
        </x15:connection>
      </ext>
    </extLst>
  </connection>
  <connection id="4" xr16:uid="{722F4753-BAF1-4FBE-A1AB-2FA5A4C87704}" name="WorksheetConnection_Sales!$A$1:$I$12" type="102" refreshedVersion="8" minRefreshableVersion="5">
    <extLst>
      <ext xmlns:x15="http://schemas.microsoft.com/office/spreadsheetml/2010/11/main" uri="{DE250136-89BD-433C-8126-D09CA5730AF9}">
        <x15:connection id="Range 2" autoDelete="1">
          <x15:rangePr sourceName="_xlcn.WorksheetConnection_SalesA1I121"/>
        </x15:connection>
      </ext>
    </extLst>
  </connection>
</connections>
</file>

<file path=xl/sharedStrings.xml><?xml version="1.0" encoding="utf-8"?>
<sst xmlns="http://schemas.openxmlformats.org/spreadsheetml/2006/main" count="156" uniqueCount="53">
  <si>
    <t>OrderID</t>
  </si>
  <si>
    <t>OrderDate</t>
  </si>
  <si>
    <t>ProductID</t>
  </si>
  <si>
    <t>RegionID</t>
  </si>
  <si>
    <t>Quantity</t>
  </si>
  <si>
    <t>SalesAmount</t>
  </si>
  <si>
    <t>01-01-2024</t>
  </si>
  <si>
    <t>P101</t>
  </si>
  <si>
    <t>R1</t>
  </si>
  <si>
    <t>02-01-2024</t>
  </si>
  <si>
    <t>P102</t>
  </si>
  <si>
    <t>R2</t>
  </si>
  <si>
    <t>03-01-2024</t>
  </si>
  <si>
    <t>P103</t>
  </si>
  <si>
    <t>R3</t>
  </si>
  <si>
    <t>04-01-2024</t>
  </si>
  <si>
    <t>P104</t>
  </si>
  <si>
    <t>R4</t>
  </si>
  <si>
    <t>05-01-2024</t>
  </si>
  <si>
    <t>P105</t>
  </si>
  <si>
    <t>06-01-2024</t>
  </si>
  <si>
    <t>07-01-2024</t>
  </si>
  <si>
    <t>08-01-2024</t>
  </si>
  <si>
    <t>09-01-2024</t>
  </si>
  <si>
    <t>10-01-2024</t>
  </si>
  <si>
    <t>ProductName</t>
  </si>
  <si>
    <t>Category</t>
  </si>
  <si>
    <t>Laptop</t>
  </si>
  <si>
    <t>Electronics</t>
  </si>
  <si>
    <t>Mobile</t>
  </si>
  <si>
    <t>Watch</t>
  </si>
  <si>
    <t>Accessories</t>
  </si>
  <si>
    <t>Backpack</t>
  </si>
  <si>
    <t>Travel</t>
  </si>
  <si>
    <t>Shoes</t>
  </si>
  <si>
    <t>Fashion</t>
  </si>
  <si>
    <t>RegionName</t>
  </si>
  <si>
    <t>North</t>
  </si>
  <si>
    <t>South</t>
  </si>
  <si>
    <t>East</t>
  </si>
  <si>
    <t>West</t>
  </si>
  <si>
    <t xml:space="preserve">Week day </t>
  </si>
  <si>
    <t>Time</t>
  </si>
  <si>
    <t>Column Labels</t>
  </si>
  <si>
    <t>Grand Total</t>
  </si>
  <si>
    <t>(blank)</t>
  </si>
  <si>
    <t>Row Labels</t>
  </si>
  <si>
    <t>Sum of SalesAmount</t>
  </si>
  <si>
    <t>Month</t>
  </si>
  <si>
    <t>Hour</t>
  </si>
  <si>
    <t>Expiry date</t>
  </si>
  <si>
    <t>CHARTS</t>
  </si>
  <si>
    <r>
      <t>I used</t>
    </r>
    <r>
      <rPr>
        <i/>
        <sz val="11"/>
        <color theme="1"/>
        <rFont val="Century Gothic"/>
        <family val="2"/>
        <scheme val="minor"/>
      </rPr>
      <t xml:space="preserve"> </t>
    </r>
    <r>
      <rPr>
        <b/>
        <i/>
        <sz val="11"/>
        <color theme="1"/>
        <rFont val="Century Gothic"/>
        <family val="2"/>
        <scheme val="minor"/>
      </rPr>
      <t>time and date function</t>
    </r>
    <r>
      <rPr>
        <sz val="11"/>
        <color theme="1"/>
        <rFont val="Century Gothic"/>
        <family val="2"/>
        <scheme val="minor"/>
      </rPr>
      <t xml:space="preserve"> to analyze monthly and yearly trends. I connected tables using </t>
    </r>
    <r>
      <rPr>
        <b/>
        <i/>
        <sz val="11"/>
        <color theme="1"/>
        <rFont val="Century Gothic"/>
        <family val="2"/>
        <scheme val="minor"/>
      </rPr>
      <t>pivot table relationships</t>
    </r>
    <r>
      <rPr>
        <sz val="11"/>
        <color theme="1"/>
        <rFont val="Century Gothic"/>
        <family val="2"/>
        <scheme val="minor"/>
      </rPr>
      <t xml:space="preserve"> to bring accurate information together.</t>
    </r>
    <r>
      <rPr>
        <b/>
        <i/>
        <sz val="11"/>
        <color theme="1"/>
        <rFont val="Century Gothic"/>
        <family val="2"/>
        <scheme val="minor"/>
      </rPr>
      <t>pivot Tables</t>
    </r>
    <r>
      <rPr>
        <sz val="11"/>
        <color theme="1"/>
        <rFont val="Century Gothic"/>
        <family val="2"/>
        <scheme val="minor"/>
      </rPr>
      <t xml:space="preserve"> and </t>
    </r>
    <r>
      <rPr>
        <b/>
        <i/>
        <sz val="11"/>
        <color theme="1"/>
        <rFont val="Century Gothic"/>
        <family val="2"/>
        <scheme val="minor"/>
      </rPr>
      <t>charts</t>
    </r>
    <r>
      <rPr>
        <sz val="11"/>
        <color theme="1"/>
        <rFont val="Century Gothic"/>
        <family val="2"/>
        <scheme val="minor"/>
      </rPr>
      <t xml:space="preserve"> helps me</t>
    </r>
    <r>
      <rPr>
        <b/>
        <sz val="11"/>
        <color theme="1"/>
        <rFont val="Century Gothic"/>
        <family val="2"/>
        <scheme val="minor"/>
      </rPr>
      <t xml:space="preserve"> </t>
    </r>
    <r>
      <rPr>
        <b/>
        <i/>
        <sz val="11"/>
        <color theme="1"/>
        <rFont val="Century Gothic"/>
        <family val="2"/>
        <scheme val="minor"/>
      </rPr>
      <t>summarize large data and compare categories quickly</t>
    </r>
    <r>
      <rPr>
        <sz val="11"/>
        <color theme="1"/>
        <rFont val="Century Gothic"/>
        <family val="2"/>
        <scheme val="minor"/>
      </rPr>
      <t>.using</t>
    </r>
    <r>
      <rPr>
        <b/>
        <sz val="11"/>
        <color theme="1"/>
        <rFont val="Century Gothic"/>
        <family val="2"/>
        <scheme val="minor"/>
      </rPr>
      <t xml:space="preserve"> </t>
    </r>
    <r>
      <rPr>
        <b/>
        <i/>
        <sz val="11"/>
        <color theme="1"/>
        <rFont val="Century Gothic"/>
        <family val="2"/>
        <scheme val="minor"/>
      </rPr>
      <t>slicers and timeline</t>
    </r>
    <r>
      <rPr>
        <sz val="11"/>
        <color theme="1"/>
        <rFont val="Century Gothic"/>
        <family val="2"/>
        <scheme val="minor"/>
      </rPr>
      <t>, ibuilt an interactive</t>
    </r>
    <r>
      <rPr>
        <b/>
        <sz val="11"/>
        <color theme="1"/>
        <rFont val="Century Gothic"/>
        <family val="2"/>
        <scheme val="minor"/>
      </rPr>
      <t xml:space="preserve"> </t>
    </r>
    <r>
      <rPr>
        <b/>
        <i/>
        <sz val="11"/>
        <color theme="1"/>
        <rFont val="Century Gothic"/>
        <family val="2"/>
        <scheme val="minor"/>
      </rPr>
      <t>Dashboard</t>
    </r>
    <r>
      <rPr>
        <sz val="11"/>
        <color theme="1"/>
        <rFont val="Century Gothic"/>
        <family val="2"/>
        <scheme val="minor"/>
      </rPr>
      <t xml:space="preserve"> so users can change views easily.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</si>
</sst>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d/yyyy;@"/>
  </numFmts>
  <fonts count="5" x14ac:knownFonts="1">
    <font>
      <sz val="11"/>
      <color theme="1"/>
      <name val="Century Gothic"/>
      <family val="2"/>
      <scheme val="minor"/>
    </font>
    <font>
      <b/>
      <sz val="11"/>
      <color theme="1"/>
      <name val="Century Gothic"/>
      <family val="2"/>
      <scheme val="minor"/>
    </font>
    <font>
      <b/>
      <sz val="36"/>
      <color theme="1"/>
      <name val="Castellar"/>
      <family val="1"/>
    </font>
    <font>
      <i/>
      <sz val="11"/>
      <color theme="1"/>
      <name val="Century Gothic"/>
      <family val="2"/>
      <scheme val="minor"/>
    </font>
    <font>
      <b/>
      <i/>
      <sz val="11"/>
      <color theme="1"/>
      <name val="Century Gothic"/>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6" tint="0.39997558519241921"/>
        <bgColor indexed="64"/>
      </patternFill>
    </fill>
    <fill>
      <patternFill patternType="solid">
        <fgColor rgb="FF66003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0" fillId="0" borderId="0" xfId="0" applyAlignment="1">
      <alignment horizontal="center"/>
    </xf>
    <xf numFmtId="0" fontId="0" fillId="3" borderId="1" xfId="0" applyFill="1" applyBorder="1" applyAlignment="1">
      <alignment horizontal="center"/>
    </xf>
    <xf numFmtId="18" fontId="0" fillId="3" borderId="1" xfId="0" applyNumberForma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2" borderId="2" xfId="0" applyFont="1" applyFill="1" applyBorder="1" applyAlignment="1">
      <alignment horizontal="center"/>
    </xf>
    <xf numFmtId="14" fontId="0" fillId="3" borderId="1" xfId="0" applyNumberFormat="1" applyFill="1" applyBorder="1" applyAlignment="1">
      <alignment horizontal="center"/>
    </xf>
    <xf numFmtId="0" fontId="0" fillId="4" borderId="0" xfId="0" applyFill="1"/>
    <xf numFmtId="0" fontId="0" fillId="4" borderId="0" xfId="0" applyFill="1" applyAlignment="1">
      <alignment horizontal="center"/>
    </xf>
    <xf numFmtId="0" fontId="2" fillId="4" borderId="0" xfId="0" applyFont="1" applyFill="1" applyAlignment="1">
      <alignment horizontal="center"/>
    </xf>
    <xf numFmtId="166" fontId="0" fillId="3" borderId="1" xfId="0" applyNumberFormat="1" applyFill="1" applyBorder="1" applyAlignment="1">
      <alignment horizontal="center"/>
    </xf>
  </cellXfs>
  <cellStyles count="1">
    <cellStyle name="Normal" xfId="0" builtinId="0"/>
  </cellStyles>
  <dxfs count="0"/>
  <tableStyles count="0" defaultTableStyle="TableStyleMedium9" defaultPivotStyle="PivotStyleLight16"/>
  <colors>
    <mruColors>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1/relationships/timelineCache" Target="timelineCaches/timelineCache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8</xdr:col>
      <xdr:colOff>314387</xdr:colOff>
      <xdr:row>21</xdr:row>
      <xdr:rowOff>102371</xdr:rowOff>
    </xdr:to>
    <xdr:pic>
      <xdr:nvPicPr>
        <xdr:cNvPr id="2" name="Picture 1">
          <a:extLst>
            <a:ext uri="{FF2B5EF4-FFF2-40B4-BE49-F238E27FC236}">
              <a16:creationId xmlns:a16="http://schemas.microsoft.com/office/drawing/2014/main" id="{F0C78218-864F-FF5F-9B71-984DDB21307D}"/>
            </a:ext>
          </a:extLst>
        </xdr:cNvPr>
        <xdr:cNvPicPr>
          <a:picLocks noChangeAspect="1"/>
        </xdr:cNvPicPr>
      </xdr:nvPicPr>
      <xdr:blipFill>
        <a:blip xmlns:r="http://schemas.openxmlformats.org/officeDocument/2006/relationships" r:embed="rId1"/>
        <a:stretch>
          <a:fillRect/>
        </a:stretch>
      </xdr:blipFill>
      <xdr:spPr>
        <a:xfrm>
          <a:off x="685800" y="1466850"/>
          <a:ext cx="5114987" cy="3036071"/>
        </a:xfrm>
        <a:prstGeom prst="rect">
          <a:avLst/>
        </a:prstGeom>
      </xdr:spPr>
    </xdr:pic>
    <xdr:clientData/>
  </xdr:twoCellAnchor>
  <xdr:twoCellAnchor editAs="oneCell">
    <xdr:from>
      <xdr:col>9</xdr:col>
      <xdr:colOff>0</xdr:colOff>
      <xdr:row>9</xdr:row>
      <xdr:rowOff>0</xdr:rowOff>
    </xdr:from>
    <xdr:to>
      <xdr:col>11</xdr:col>
      <xdr:colOff>457200</xdr:colOff>
      <xdr:row>21</xdr:row>
      <xdr:rowOff>9525</xdr:rowOff>
    </xdr:to>
    <mc:AlternateContent xmlns:mc="http://schemas.openxmlformats.org/markup-compatibility/2006">
      <mc:Choice xmlns:a14="http://schemas.microsoft.com/office/drawing/2010/main" Requires="a14">
        <xdr:graphicFrame macro="">
          <xdr:nvGraphicFramePr>
            <xdr:cNvPr id="4" name="SalesAmount">
              <a:extLst>
                <a:ext uri="{FF2B5EF4-FFF2-40B4-BE49-F238E27FC236}">
                  <a16:creationId xmlns:a16="http://schemas.microsoft.com/office/drawing/2014/main" id="{53E8EBAA-3653-4492-B11C-2B06803CAF6B}"/>
                </a:ext>
              </a:extLst>
            </xdr:cNvPr>
            <xdr:cNvGraphicFramePr/>
          </xdr:nvGraphicFramePr>
          <xdr:xfrm>
            <a:off x="0" y="0"/>
            <a:ext cx="0" cy="0"/>
          </xdr:xfrm>
          <a:graphic>
            <a:graphicData uri="http://schemas.microsoft.com/office/drawing/2010/slicer">
              <sle:slicer xmlns:sle="http://schemas.microsoft.com/office/drawing/2010/slicer" name="SalesAmount"/>
            </a:graphicData>
          </a:graphic>
        </xdr:graphicFrame>
      </mc:Choice>
      <mc:Fallback>
        <xdr:sp macro="" textlink="">
          <xdr:nvSpPr>
            <xdr:cNvPr id="0" name=""/>
            <xdr:cNvSpPr>
              <a:spLocks noTextEdit="1"/>
            </xdr:cNvSpPr>
          </xdr:nvSpPr>
          <xdr:spPr>
            <a:xfrm>
              <a:off x="6172200" y="1885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16</xdr:col>
      <xdr:colOff>590550</xdr:colOff>
      <xdr:row>17</xdr:row>
      <xdr:rowOff>114300</xdr:rowOff>
    </xdr:to>
    <mc:AlternateContent xmlns:mc="http://schemas.openxmlformats.org/markup-compatibility/2006">
      <mc:Choice xmlns:tsle="http://schemas.microsoft.com/office/drawing/2012/timeslicer" Requires="tsle">
        <xdr:graphicFrame macro="">
          <xdr:nvGraphicFramePr>
            <xdr:cNvPr id="6" name="Time 1">
              <a:extLst>
                <a:ext uri="{FF2B5EF4-FFF2-40B4-BE49-F238E27FC236}">
                  <a16:creationId xmlns:a16="http://schemas.microsoft.com/office/drawing/2014/main" id="{BE44B4E3-68F4-4723-9934-9D23E18FC00A}"/>
                </a:ext>
              </a:extLst>
            </xdr:cNvPr>
            <xdr:cNvGraphicFramePr/>
          </xdr:nvGraphicFramePr>
          <xdr:xfrm>
            <a:off x="0" y="0"/>
            <a:ext cx="0" cy="0"/>
          </xdr:xfrm>
          <a:graphic>
            <a:graphicData uri="http://schemas.microsoft.com/office/drawing/2012/timeslicer">
              <tsle:timeslicer xmlns:tsle="http://schemas.microsoft.com/office/drawing/2012/timeslicer" name="Time 1"/>
            </a:graphicData>
          </a:graphic>
        </xdr:graphicFrame>
      </mc:Choice>
      <mc:Fallback>
        <xdr:sp macro="" textlink="">
          <xdr:nvSpPr>
            <xdr:cNvPr id="0" name=""/>
            <xdr:cNvSpPr>
              <a:spLocks noTextEdit="1"/>
            </xdr:cNvSpPr>
          </xdr:nvSpPr>
          <xdr:spPr>
            <a:xfrm>
              <a:off x="8229600" y="23050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85725</xdr:colOff>
      <xdr:row>22</xdr:row>
      <xdr:rowOff>95250</xdr:rowOff>
    </xdr:from>
    <xdr:to>
      <xdr:col>7</xdr:col>
      <xdr:colOff>238495</xdr:colOff>
      <xdr:row>33</xdr:row>
      <xdr:rowOff>186136</xdr:rowOff>
    </xdr:to>
    <xdr:pic>
      <xdr:nvPicPr>
        <xdr:cNvPr id="8" name="Picture 7">
          <a:extLst>
            <a:ext uri="{FF2B5EF4-FFF2-40B4-BE49-F238E27FC236}">
              <a16:creationId xmlns:a16="http://schemas.microsoft.com/office/drawing/2014/main" id="{6F541A4C-8B01-9309-DD89-8D30545C4EF3}"/>
            </a:ext>
          </a:extLst>
        </xdr:cNvPr>
        <xdr:cNvPicPr>
          <a:picLocks noChangeAspect="1"/>
        </xdr:cNvPicPr>
      </xdr:nvPicPr>
      <xdr:blipFill>
        <a:blip xmlns:r="http://schemas.openxmlformats.org/officeDocument/2006/relationships" r:embed="rId2"/>
        <a:stretch>
          <a:fillRect/>
        </a:stretch>
      </xdr:blipFill>
      <xdr:spPr>
        <a:xfrm>
          <a:off x="771525" y="4705350"/>
          <a:ext cx="4267570" cy="2395936"/>
        </a:xfrm>
        <a:prstGeom prst="rect">
          <a:avLst/>
        </a:prstGeom>
      </xdr:spPr>
    </xdr:pic>
    <xdr:clientData/>
  </xdr:twoCellAnchor>
  <xdr:twoCellAnchor editAs="oneCell">
    <xdr:from>
      <xdr:col>7</xdr:col>
      <xdr:colOff>533400</xdr:colOff>
      <xdr:row>22</xdr:row>
      <xdr:rowOff>95250</xdr:rowOff>
    </xdr:from>
    <xdr:to>
      <xdr:col>13</xdr:col>
      <xdr:colOff>509371</xdr:colOff>
      <xdr:row>33</xdr:row>
      <xdr:rowOff>167846</xdr:rowOff>
    </xdr:to>
    <xdr:pic>
      <xdr:nvPicPr>
        <xdr:cNvPr id="10" name="Picture 9">
          <a:extLst>
            <a:ext uri="{FF2B5EF4-FFF2-40B4-BE49-F238E27FC236}">
              <a16:creationId xmlns:a16="http://schemas.microsoft.com/office/drawing/2014/main" id="{4BB3EE89-FA1B-960B-9059-1103A0642CBF}"/>
            </a:ext>
          </a:extLst>
        </xdr:cNvPr>
        <xdr:cNvPicPr>
          <a:picLocks noChangeAspect="1"/>
        </xdr:cNvPicPr>
      </xdr:nvPicPr>
      <xdr:blipFill>
        <a:blip xmlns:r="http://schemas.openxmlformats.org/officeDocument/2006/relationships" r:embed="rId3"/>
        <a:stretch>
          <a:fillRect/>
        </a:stretch>
      </xdr:blipFill>
      <xdr:spPr>
        <a:xfrm>
          <a:off x="5334000" y="4705350"/>
          <a:ext cx="4090771" cy="2377646"/>
        </a:xfrm>
        <a:prstGeom prst="rect">
          <a:avLst/>
        </a:prstGeom>
      </xdr:spPr>
    </xdr:pic>
    <xdr:clientData/>
  </xdr:twoCellAnchor>
  <xdr:twoCellAnchor editAs="oneCell">
    <xdr:from>
      <xdr:col>2</xdr:col>
      <xdr:colOff>0</xdr:colOff>
      <xdr:row>35</xdr:row>
      <xdr:rowOff>0</xdr:rowOff>
    </xdr:from>
    <xdr:to>
      <xdr:col>8</xdr:col>
      <xdr:colOff>469789</xdr:colOff>
      <xdr:row>48</xdr:row>
      <xdr:rowOff>31481</xdr:rowOff>
    </xdr:to>
    <xdr:pic>
      <xdr:nvPicPr>
        <xdr:cNvPr id="12" name="Picture 11">
          <a:extLst>
            <a:ext uri="{FF2B5EF4-FFF2-40B4-BE49-F238E27FC236}">
              <a16:creationId xmlns:a16="http://schemas.microsoft.com/office/drawing/2014/main" id="{A16D518A-5108-B7EE-7731-ACEB4677D71E}"/>
            </a:ext>
          </a:extLst>
        </xdr:cNvPr>
        <xdr:cNvPicPr>
          <a:picLocks noChangeAspect="1"/>
        </xdr:cNvPicPr>
      </xdr:nvPicPr>
      <xdr:blipFill>
        <a:blip xmlns:r="http://schemas.openxmlformats.org/officeDocument/2006/relationships" r:embed="rId4"/>
        <a:stretch>
          <a:fillRect/>
        </a:stretch>
      </xdr:blipFill>
      <xdr:spPr>
        <a:xfrm>
          <a:off x="1371600" y="7334250"/>
          <a:ext cx="4584589" cy="2755631"/>
        </a:xfrm>
        <a:prstGeom prst="rect">
          <a:avLst/>
        </a:prstGeom>
      </xdr:spPr>
    </xdr:pic>
    <xdr:clientData/>
  </xdr:twoCellAnchor>
  <xdr:twoCellAnchor editAs="oneCell">
    <xdr:from>
      <xdr:col>9</xdr:col>
      <xdr:colOff>0</xdr:colOff>
      <xdr:row>36</xdr:row>
      <xdr:rowOff>0</xdr:rowOff>
    </xdr:from>
    <xdr:to>
      <xdr:col>11</xdr:col>
      <xdr:colOff>463455</xdr:colOff>
      <xdr:row>49</xdr:row>
      <xdr:rowOff>80253</xdr:rowOff>
    </xdr:to>
    <xdr:pic>
      <xdr:nvPicPr>
        <xdr:cNvPr id="14" name="Picture 13">
          <a:extLst>
            <a:ext uri="{FF2B5EF4-FFF2-40B4-BE49-F238E27FC236}">
              <a16:creationId xmlns:a16="http://schemas.microsoft.com/office/drawing/2014/main" id="{E278A54F-3D72-BDD1-61A1-D69C46C16E60}"/>
            </a:ext>
          </a:extLst>
        </xdr:cNvPr>
        <xdr:cNvPicPr>
          <a:picLocks noChangeAspect="1"/>
        </xdr:cNvPicPr>
      </xdr:nvPicPr>
      <xdr:blipFill>
        <a:blip xmlns:r="http://schemas.openxmlformats.org/officeDocument/2006/relationships" r:embed="rId5"/>
        <a:stretch>
          <a:fillRect/>
        </a:stretch>
      </xdr:blipFill>
      <xdr:spPr>
        <a:xfrm>
          <a:off x="6172200" y="7543800"/>
          <a:ext cx="1835055" cy="2804403"/>
        </a:xfrm>
        <a:prstGeom prst="rect">
          <a:avLst/>
        </a:prstGeom>
      </xdr:spPr>
    </xdr:pic>
    <xdr:clientData/>
  </xdr:twoCellAnchor>
  <xdr:twoCellAnchor editAs="oneCell">
    <xdr:from>
      <xdr:col>14</xdr:col>
      <xdr:colOff>104774</xdr:colOff>
      <xdr:row>27</xdr:row>
      <xdr:rowOff>9525</xdr:rowOff>
    </xdr:from>
    <xdr:to>
      <xdr:col>17</xdr:col>
      <xdr:colOff>609599</xdr:colOff>
      <xdr:row>33</xdr:row>
      <xdr:rowOff>123825</xdr:rowOff>
    </xdr:to>
    <mc:AlternateContent xmlns:mc="http://schemas.openxmlformats.org/markup-compatibility/2006">
      <mc:Choice xmlns:tsle="http://schemas.microsoft.com/office/drawing/2012/timeslicer" Requires="tsle">
        <xdr:graphicFrame macro="">
          <xdr:nvGraphicFramePr>
            <xdr:cNvPr id="15" name="Time">
              <a:extLst>
                <a:ext uri="{FF2B5EF4-FFF2-40B4-BE49-F238E27FC236}">
                  <a16:creationId xmlns:a16="http://schemas.microsoft.com/office/drawing/2014/main" id="{DB1B3D3C-01BA-E216-2AF3-E5426714C500}"/>
                </a:ext>
              </a:extLst>
            </xdr:cNvPr>
            <xdr:cNvGraphicFramePr/>
          </xdr:nvGraphicFramePr>
          <xdr:xfrm>
            <a:off x="0" y="0"/>
            <a:ext cx="0" cy="0"/>
          </xdr:xfrm>
          <a:graphic>
            <a:graphicData uri="http://schemas.microsoft.com/office/drawing/2012/timeslicer">
              <tsle:timeslicer xmlns:tsle="http://schemas.microsoft.com/office/drawing/2012/timeslicer" name="Time"/>
            </a:graphicData>
          </a:graphic>
        </xdr:graphicFrame>
      </mc:Choice>
      <mc:Fallback>
        <xdr:sp macro="" textlink="">
          <xdr:nvSpPr>
            <xdr:cNvPr id="0" name=""/>
            <xdr:cNvSpPr>
              <a:spLocks noTextEdit="1"/>
            </xdr:cNvSpPr>
          </xdr:nvSpPr>
          <xdr:spPr>
            <a:xfrm>
              <a:off x="9705974" y="5667375"/>
              <a:ext cx="25622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646872337966" backgroundQuery="1" createdVersion="8" refreshedVersion="8" minRefreshableVersion="3" recordCount="0" supportSubquery="1" supportAdvancedDrill="1" xr:uid="{A34DCE96-E32A-437B-9E40-26787CCD2800}">
  <cacheSource type="external" connectionId="1"/>
  <cacheFields count="4">
    <cacheField name="[Range].[Time].[Time]" caption="Time" numFmtId="0" level="1">
      <sharedItems containsSemiMixedTypes="0" containsNonDate="0" containsDate="1" containsString="0" minDate="1899-12-30T01:32:35" maxDate="1899-12-30T01:52:04" count="5">
        <d v="1899-12-30T01:32:35"/>
        <d v="1899-12-30T01:34:57"/>
        <d v="1899-12-30T01:46:18"/>
        <d v="1899-12-30T01:49:25"/>
        <d v="1899-12-30T01:52:04"/>
      </sharedItems>
      <extLst>
        <ext xmlns:x15="http://schemas.microsoft.com/office/spreadsheetml/2010/11/main" uri="{4F2E5C28-24EA-4eb8-9CBF-B6C8F9C3D259}">
          <x15:cachedUniqueNames>
            <x15:cachedUniqueName index="0" name="[Range].[Time].&amp;[1899-12-30T01:32:35]"/>
            <x15:cachedUniqueName index="1" name="[Range].[Time].&amp;[1899-12-30T01:34:57]"/>
            <x15:cachedUniqueName index="2" name="[Range].[Time].&amp;[1899-12-30T01:46:18]"/>
            <x15:cachedUniqueName index="3" name="[Range].[Time].&amp;[1899-12-30T01:49:25]"/>
            <x15:cachedUniqueName index="4" name="[Range].[Time].&amp;[1899-12-30T01:52:04]"/>
          </x15:cachedUniqueNames>
        </ext>
      </extLst>
    </cacheField>
    <cacheField name="[Range 1].[ProductName].[ProductName]" caption="ProductName" numFmtId="0" hierarchy="12" level="1">
      <sharedItems count="5">
        <s v="Backpack"/>
        <s v="Laptop"/>
        <s v="Mobile"/>
        <s v="Shoes"/>
        <s v="Watch"/>
      </sharedItems>
    </cacheField>
    <cacheField name="[Measures].[Sum of SalesAmount]" caption="Sum of SalesAmount" numFmtId="0" hierarchy="31" level="32767"/>
    <cacheField name="[Range 1].[Quantity].[Quantity]" caption="Quantity" numFmtId="0" hierarchy="1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nge 1].[Quantity].&amp;[1]"/>
            <x15:cachedUniqueName index="1" name="[Range 1].[Quantity].&amp;[2]"/>
            <x15:cachedUniqueName index="2" name="[Range 1].[Quantity].&amp;[3]"/>
            <x15:cachedUniqueName index="3" name="[Range 1].[Quantity].&amp;[4]"/>
            <x15:cachedUniqueName index="4" name="[Range 1].[Quantity].&amp;[5]"/>
          </x15:cachedUniqueNames>
        </ext>
      </extLst>
    </cacheField>
  </cacheFields>
  <cacheHierarchies count="35">
    <cacheHierarchy uniqueName="[Range].[Time]" caption="Time" attribute="1" time="1" defaultMemberUniqueName="[Range].[Time].[All]" allUniqueName="[Range].[Time].[All]" dimensionUniqueName="[Range]" displayFolder="" count="2" memberValueDatatype="7" unbalanced="0">
      <fieldsUsage count="2">
        <fieldUsage x="-1"/>
        <fieldUsage x="0"/>
      </fieldsUsage>
    </cacheHierarchy>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Time (Second)]" caption="Time (Second)" attribute="1" defaultMemberUniqueName="[Range].[Time (Second)].[All]" allUniqueName="[Range].[Time (Second)].[All]" dimensionUniqueName="[Range]" displayFolder="" count="0" memberValueDatatype="130" unbalanced="0"/>
    <cacheHierarchy uniqueName="[Range 1].[OrderID]" caption="OrderID" attribute="1" defaultMemberUniqueName="[Range 1].[OrderID].[All]" allUniqueName="[Range 1].[OrderID].[All]" dimensionUniqueName="[Range 1]" displayFolder="" count="0" memberValueDatatype="20" unbalanced="0"/>
    <cacheHierarchy uniqueName="[Range 1].[ProductID]" caption="ProductID" attribute="1" defaultMemberUniqueName="[Range 1].[ProductID].[All]" allUniqueName="[Range 1].[ProductID].[All]" dimensionUniqueName="[Range 1]" displayFolder="" count="0" memberValueDatatype="130" unbalanced="0"/>
    <cacheHierarchy uniqueName="[Range 1].[OrderDate]" caption="OrderDate" attribute="1" defaultMemberUniqueName="[Range 1].[OrderDate].[All]" allUniqueName="[Range 1].[OrderDate].[All]" dimensionUniqueName="[Range 1]" displayFolder="" count="0" memberValueDatatype="130" unbalanced="0"/>
    <cacheHierarchy uniqueName="[Range 1].[Week day]" caption="Week day" attribute="1" defaultMemberUniqueName="[Range 1].[Week day].[All]" allUniqueName="[Range 1].[Week day].[All]" dimensionUniqueName="[Range 1]" displayFolder="" count="0" memberValueDatatype="20" unbalanced="0"/>
    <cacheHierarchy uniqueName="[Range 1].[Time]" caption="Time" attribute="1" time="1" defaultMemberUniqueName="[Range 1].[Time].[All]" allUniqueName="[Range 1].[Time].[All]" dimensionUniqueName="[Range 1]" displayFolder="" count="0" memberValueDatatype="7" unbalanced="0"/>
    <cacheHierarchy uniqueName="[Range 1].[RegionID]" caption="RegionID" attribute="1" defaultMemberUniqueName="[Range 1].[RegionID].[All]" allUniqueName="[Range 1].[RegionID].[All]" dimensionUniqueName="[Range 1]" displayFolder="" count="0" memberValueDatatype="130" unbalanced="0"/>
    <cacheHierarchy uniqueName="[Range 1].[RegionName]" caption="RegionName" attribute="1" defaultMemberUniqueName="[Range 1].[RegionName].[All]" allUniqueName="[Range 1].[Region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oductName]" caption="ProductName" attribute="1" defaultMemberUniqueName="[Range 1].[ProductName].[All]" allUniqueName="[Range 1].[ProductName].[All]" dimensionUniqueName="[Range 1]" displayFolder="" count="2" memberValueDatatype="130" unbalanced="0">
      <fieldsUsage count="2">
        <fieldUsage x="-1"/>
        <fieldUsage x="1"/>
      </fieldsUsage>
    </cacheHierarchy>
    <cacheHierarchy uniqueName="[Range 1].[Quantity]" caption="Quantity" attribute="1" defaultMemberUniqueName="[Range 1].[Quantity].[All]" allUniqueName="[Range 1].[Quantity].[All]" dimensionUniqueName="[Range 1]" displayFolder="" count="2" memberValueDatatype="20" unbalanced="0">
      <fieldsUsage count="2">
        <fieldUsage x="-1"/>
        <fieldUsage x="3"/>
      </fieldsUsage>
    </cacheHierarchy>
    <cacheHierarchy uniqueName="[Range 1].[SalesAmount]" caption="SalesAmount" attribute="1" defaultMemberUniqueName="[Range 1].[SalesAmount].[All]" allUniqueName="[Range 1].[SalesAmount].[All]" dimensionUniqueName="[Range 1]" displayFolder="" count="0" memberValueDatatype="20" unbalanced="0"/>
    <cacheHierarchy uniqueName="[Range 1].[Time (Hour)]" caption="Time (Hour)" attribute="1" defaultMemberUniqueName="[Range 1].[Time (Hour)].[All]" allUniqueName="[Range 1].[Time (Hour)].[All]" dimensionUniqueName="[Range 1]" displayFolder="" count="0" memberValueDatatype="130" unbalanced="0"/>
    <cacheHierarchy uniqueName="[Range 1].[Time (Minute)]" caption="Time (Minute)" attribute="1" defaultMemberUniqueName="[Range 1].[Time (Minute)].[All]" allUniqueName="[Range 1].[Time (Minute)].[All]" dimensionUniqueName="[Range 1]" displayFolder="" count="0" memberValueDatatype="130" unbalanced="0"/>
    <cacheHierarchy uniqueName="[Range 1].[Time (Second)]" caption="Time (Second)" attribute="1" defaultMemberUniqueName="[Range 1].[Time (Second)].[All]" allUniqueName="[Range 1].[Time (Second)].[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20" unbalanced="0"/>
    <cacheHierarchy uniqueName="[Range 2].[ProductID]" caption="ProductID" attribute="1" defaultMemberUniqueName="[Range 2].[ProductID].[All]" allUniqueName="[Range 2].[Product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RegionID]" caption="RegionID" attribute="1" defaultMemberUniqueName="[Range 2].[RegionID].[All]" allUniqueName="[Range 2].[RegionID].[All]" dimensionUniqueName="[Range 2]" displayFolder="" count="0" memberValueDatatype="130" unbalanced="0"/>
    <cacheHierarchy uniqueName="[Range 2].[RegionName]" caption="RegionName" attribute="1" defaultMemberUniqueName="[Range 2].[RegionName].[All]" allUniqueName="[Range 2].[Region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Name]" caption="ProductName" attribute="1" defaultMemberUniqueName="[Range 2].[ProductName].[All]" allUniqueName="[Range 2].[ProductName].[All]" dimensionUniqueName="[Range 2]" displayFolder="" count="0" memberValueDatatype="130" unbalanced="0"/>
    <cacheHierarchy uniqueName="[Range 2].[Quantity]" caption="Quantity" attribute="1" defaultMemberUniqueName="[Range 2].[Quantity].[All]" allUniqueName="[Range 2].[Quantity].[All]" dimensionUniqueName="[Range 2]" displayFolder="" count="0" memberValueDatatype="20" unbalanced="0"/>
    <cacheHierarchy uniqueName="[Range 2].[SalesAmount]" caption="SalesAmount" attribute="1" defaultMemberUniqueName="[Range 2].[SalesAmount].[All]" allUniqueName="[Range 2].[Sales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Amount]" caption="Sum of SalesAmount" measure="1" displayFolder="" measureGroup="Range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Range 2" count="0" hidden="1">
      <extLst>
        <ext xmlns:x15="http://schemas.microsoft.com/office/spreadsheetml/2010/11/main" uri="{B97F6D7D-B522-45F9-BDA1-12C45D357490}">
          <x15:cacheHierarchy aggregatedColumn="25"/>
        </ext>
      </extLst>
    </cacheHierarchy>
    <cacheHierarchy uniqueName="[Measures].[Sum of SalesAmount 2]" caption="Sum of SalesAmount 2" measure="1" displayFolder="" measureGroup="Range 2" count="0" hidden="1">
      <extLst>
        <ext xmlns:x15="http://schemas.microsoft.com/office/spreadsheetml/2010/11/main" uri="{B97F6D7D-B522-45F9-BDA1-12C45D357490}">
          <x15:cacheHierarchy aggregatedColumn="26"/>
        </ext>
      </extLst>
    </cacheHierarchy>
    <cacheHierarchy uniqueName="[Measures].[Sum of OrderID]" caption="Sum of OrderID" measure="1" displayFolder="" measureGroup="Range 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6">
    <map measureGroup="0" dimension="1"/>
    <map measureGroup="1"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660626273151" backgroundQuery="1" createdVersion="8" refreshedVersion="8" minRefreshableVersion="3" recordCount="0" supportSubquery="1" supportAdvancedDrill="1" xr:uid="{DFCBC3A5-BED3-4D18-9EBC-138458EB7855}">
  <cacheSource type="external" connectionId="1"/>
  <cacheFields count="4">
    <cacheField name="[Range].[Time (Second)].[Time (Second)]" caption="Time (Second)" numFmtId="0" hierarchy="3" level="1">
      <sharedItems containsSemiMixedTypes="0" containsNonDate="0" containsString="0"/>
    </cacheField>
    <cacheField name="[Range 1].[ProductID].[ProductID]" caption="ProductID" numFmtId="0" hierarchy="5" level="1">
      <sharedItems containsNonDate="0" containsString="0" containsBlank="1" count="1">
        <m/>
      </sharedItems>
    </cacheField>
    <cacheField name="[Range 2].[ProductName].[ProductName]" caption="ProductName" numFmtId="0" hierarchy="24" level="1">
      <sharedItems count="5">
        <s v="Backpack"/>
        <s v="Laptop"/>
        <s v="Mobile"/>
        <s v="Shoes"/>
        <s v="Watch"/>
      </sharedItems>
    </cacheField>
    <cacheField name="[Measures].[Sum of SalesAmount 2]" caption="Sum of SalesAmount 2" numFmtId="0" hierarchy="33" level="32767"/>
  </cacheFields>
  <cacheHierarchies count="35">
    <cacheHierarchy uniqueName="[Range].[Time]" caption="Time" attribute="1" time="1" defaultMemberUniqueName="[Range].[Time].[All]" allUniqueName="[Range].[Time].[All]" dimensionUniqueName="[Range]" displayFolder="" count="0" memberValueDatatype="7" unbalanced="0"/>
    <cacheHierarchy uniqueName="[Range].[Time (Hour)]" caption="Time (Hour)" attribute="1" defaultMemberUniqueName="[Range].[Time (Hour)].[All]" allUniqueName="[Range].[Time (Hour)].[All]" dimensionUniqueName="[Range]" displayFolder="" count="0" memberValueDatatype="130" unbalanced="0"/>
    <cacheHierarchy uniqueName="[Range].[Time (Minute)]" caption="Time (Minute)" attribute="1" defaultMemberUniqueName="[Range].[Time (Minute)].[All]" allUniqueName="[Range].[Time (Minute)].[All]" dimensionUniqueName="[Range]" displayFolder="" count="0" memberValueDatatype="130" unbalanced="0"/>
    <cacheHierarchy uniqueName="[Range].[Time (Second)]" caption="Time (Second)" attribute="1" defaultMemberUniqueName="[Range].[Time (Second)].[All]" allUniqueName="[Range].[Time (Second)].[All]" dimensionUniqueName="[Range]" displayFolder="" count="2" memberValueDatatype="130" unbalanced="0">
      <fieldsUsage count="2">
        <fieldUsage x="-1"/>
        <fieldUsage x="0"/>
      </fieldsUsage>
    </cacheHierarchy>
    <cacheHierarchy uniqueName="[Range 1].[OrderID]" caption="OrderID" attribute="1" defaultMemberUniqueName="[Range 1].[OrderID].[All]" allUniqueName="[Range 1].[OrderID].[All]" dimensionUniqueName="[Range 1]" displayFolder="" count="0" memberValueDatatype="20" unbalanced="0"/>
    <cacheHierarchy uniqueName="[Range 1].[ProductID]" caption="ProductID" attribute="1" defaultMemberUniqueName="[Range 1].[ProductID].[All]" allUniqueName="[Range 1].[ProductID].[All]" dimensionUniqueName="[Range 1]" displayFolder="" count="2" memberValueDatatype="130" unbalanced="0">
      <fieldsUsage count="2">
        <fieldUsage x="-1"/>
        <fieldUsage x="1"/>
      </fieldsUsage>
    </cacheHierarchy>
    <cacheHierarchy uniqueName="[Range 1].[OrderDate]" caption="OrderDate" attribute="1" defaultMemberUniqueName="[Range 1].[OrderDate].[All]" allUniqueName="[Range 1].[OrderDate].[All]" dimensionUniqueName="[Range 1]" displayFolder="" count="0" memberValueDatatype="130" unbalanced="0"/>
    <cacheHierarchy uniqueName="[Range 1].[Week day]" caption="Week day" attribute="1" defaultMemberUniqueName="[Range 1].[Week day].[All]" allUniqueName="[Range 1].[Week day].[All]" dimensionUniqueName="[Range 1]" displayFolder="" count="0" memberValueDatatype="20" unbalanced="0"/>
    <cacheHierarchy uniqueName="[Range 1].[Time]" caption="Time" attribute="1" time="1" defaultMemberUniqueName="[Range 1].[Time].[All]" allUniqueName="[Range 1].[Time].[All]" dimensionUniqueName="[Range 1]" displayFolder="" count="0" memberValueDatatype="7" unbalanced="0"/>
    <cacheHierarchy uniqueName="[Range 1].[RegionID]" caption="RegionID" attribute="1" defaultMemberUniqueName="[Range 1].[RegionID].[All]" allUniqueName="[Range 1].[RegionID].[All]" dimensionUniqueName="[Range 1]" displayFolder="" count="0" memberValueDatatype="130" unbalanced="0"/>
    <cacheHierarchy uniqueName="[Range 1].[RegionName]" caption="RegionName" attribute="1" defaultMemberUniqueName="[Range 1].[RegionName].[All]" allUniqueName="[Range 1].[RegionName].[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oductName]" caption="ProductName" attribute="1" defaultMemberUniqueName="[Range 1].[ProductName].[All]" allUniqueName="[Range 1].[ProductName].[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SalesAmount]" caption="SalesAmount" attribute="1" defaultMemberUniqueName="[Range 1].[SalesAmount].[All]" allUniqueName="[Range 1].[SalesAmount].[All]" dimensionUniqueName="[Range 1]" displayFolder="" count="0" memberValueDatatype="20" unbalanced="0"/>
    <cacheHierarchy uniqueName="[Range 1].[Time (Hour)]" caption="Time (Hour)" attribute="1" defaultMemberUniqueName="[Range 1].[Time (Hour)].[All]" allUniqueName="[Range 1].[Time (Hour)].[All]" dimensionUniqueName="[Range 1]" displayFolder="" count="0" memberValueDatatype="130" unbalanced="0"/>
    <cacheHierarchy uniqueName="[Range 1].[Time (Minute)]" caption="Time (Minute)" attribute="1" defaultMemberUniqueName="[Range 1].[Time (Minute)].[All]" allUniqueName="[Range 1].[Time (Minute)].[All]" dimensionUniqueName="[Range 1]" displayFolder="" count="0" memberValueDatatype="130" unbalanced="0"/>
    <cacheHierarchy uniqueName="[Range 1].[Time (Second)]" caption="Time (Second)" attribute="1" defaultMemberUniqueName="[Range 1].[Time (Second)].[All]" allUniqueName="[Range 1].[Time (Second)].[All]" dimensionUniqueName="[Range 1]" displayFolder="" count="0" memberValueDatatype="130" unbalanced="0"/>
    <cacheHierarchy uniqueName="[Range 2].[OrderID]" caption="OrderID" attribute="1" defaultMemberUniqueName="[Range 2].[OrderID].[All]" allUniqueName="[Range 2].[OrderID].[All]" dimensionUniqueName="[Range 2]" displayFolder="" count="0" memberValueDatatype="20" unbalanced="0"/>
    <cacheHierarchy uniqueName="[Range 2].[ProductID]" caption="ProductID" attribute="1" defaultMemberUniqueName="[Range 2].[ProductID].[All]" allUniqueName="[Range 2].[ProductID].[All]" dimensionUniqueName="[Range 2]" displayFolder="" count="0" memberValueDatatype="130" unbalanced="0"/>
    <cacheHierarchy uniqueName="[Range 2].[OrderDate]" caption="OrderDate" attribute="1" defaultMemberUniqueName="[Range 2].[OrderDate].[All]" allUniqueName="[Range 2].[OrderDate].[All]" dimensionUniqueName="[Range 2]" displayFolder="" count="0" memberValueDatatype="130" unbalanced="0"/>
    <cacheHierarchy uniqueName="[Range 2].[RegionID]" caption="RegionID" attribute="1" defaultMemberUniqueName="[Range 2].[RegionID].[All]" allUniqueName="[Range 2].[RegionID].[All]" dimensionUniqueName="[Range 2]" displayFolder="" count="0" memberValueDatatype="130" unbalanced="0"/>
    <cacheHierarchy uniqueName="[Range 2].[RegionName]" caption="RegionName" attribute="1" defaultMemberUniqueName="[Range 2].[RegionName].[All]" allUniqueName="[Range 2].[Region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Name]" caption="ProductName" attribute="1" defaultMemberUniqueName="[Range 2].[ProductName].[All]" allUniqueName="[Range 2].[ProductName].[All]" dimensionUniqueName="[Range 2]" displayFolder="" count="2" memberValueDatatype="130" unbalanced="0">
      <fieldsUsage count="2">
        <fieldUsage x="-1"/>
        <fieldUsage x="2"/>
      </fieldsUsage>
    </cacheHierarchy>
    <cacheHierarchy uniqueName="[Range 2].[Quantity]" caption="Quantity" attribute="1" defaultMemberUniqueName="[Range 2].[Quantity].[All]" allUniqueName="[Range 2].[Quantity].[All]" dimensionUniqueName="[Range 2]" displayFolder="" count="0" memberValueDatatype="20" unbalanced="0"/>
    <cacheHierarchy uniqueName="[Range 2].[SalesAmount]" caption="SalesAmount" attribute="1" defaultMemberUniqueName="[Range 2].[SalesAmount].[All]" allUniqueName="[Range 2].[Sales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Amount]" caption="Sum of SalesAmount" measure="1" displayFolder="" measureGroup="Range 1"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Range 2" count="0" hidden="1">
      <extLst>
        <ext xmlns:x15="http://schemas.microsoft.com/office/spreadsheetml/2010/11/main" uri="{B97F6D7D-B522-45F9-BDA1-12C45D357490}">
          <x15:cacheHierarchy aggregatedColumn="25"/>
        </ext>
      </extLst>
    </cacheHierarchy>
    <cacheHierarchy uniqueName="[Measures].[Sum of SalesAmount 2]" caption="Sum of SalesAmount 2" measure="1" displayFolder="" measureGroup="Range 2"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OrderID]" caption="Sum of OrderID" measure="1" displayFolder="" measureGroup="Range 1"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6">
    <map measureGroup="0" dimension="1"/>
    <map measureGroup="1"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692342245369" backgroundQuery="1" createdVersion="3" refreshedVersion="8" minRefreshableVersion="3" recordCount="0" supportSubquery="1" supportAdvancedDrill="1" xr:uid="{66A20845-F125-489C-A762-6AE817069FD8}">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Measures]" caption="Measures" attribute="1" keyAttribute="1" defaultMemberUniqueName="[Measures].[__No measures defined]" dimensionUniqueName="[Measures]" displayFolder="" measures="1" count="1" memberValueDatatype="130" unbalanced="0"/>
    <cacheHierarchy uniqueName="[Range].[Time]" caption="Time" attribute="1" time="1" defaultMemberUniqueName="[Range].[Time].[All]" allUniqueName="[Range].[Time].[All]" dimensionUniqueName="[Range]" displayFolder="" count="2" memberValueDatatype="7" unbalanced="0"/>
    <cacheHierarchy uniqueName="[Range].[Time (Hour)]" caption="Time (Hour)" attribute="1" defaultMemberUniqueName="[Range].[Time (Hour)].[All]" allUniqueName="[Range].[Time (Hour)].[All]" dimensionUniqueName="[Range]" displayFolder="" count="2" memberValueDatatype="130" unbalanced="0"/>
    <cacheHierarchy uniqueName="[Range].[Time (Minute)]" caption="Time (Minute)" attribute="1" defaultMemberUniqueName="[Range].[Time (Minute)].[All]" allUniqueName="[Range].[Time (Minute)].[All]" dimensionUniqueName="[Range]" displayFolder="" count="2" memberValueDatatype="130" unbalanced="0"/>
    <cacheHierarchy uniqueName="[Range].[Time (Second)]" caption="Time (Second)" attribute="1" defaultMemberUniqueName="[Range].[Time (Second)].[All]" allUniqueName="[Range].[Time (Second)].[All]" dimensionUniqueName="[Range]" displayFolder="" count="2" memberValueDatatype="130" unbalanced="0"/>
    <cacheHierarchy uniqueName="[Range 1].[OrderID]" caption="OrderID" attribute="1" defaultMemberUniqueName="[Range 1].[OrderID].[All]" allUniqueName="[Range 1].[OrderID].[All]" dimensionUniqueName="[Range 1]" displayFolder="" count="2" memberValueDatatype="20" unbalanced="0"/>
    <cacheHierarchy uniqueName="[Range 1].[ProductID]" caption="ProductID" attribute="1" defaultMemberUniqueName="[Range 1].[ProductID].[All]" allUniqueName="[Range 1].[ProductID].[All]" dimensionUniqueName="[Range 1]" displayFolder="" count="2" memberValueDatatype="130" unbalanced="0"/>
    <cacheHierarchy uniqueName="[Range 1].[OrderDate]" caption="OrderDate" attribute="1" defaultMemberUniqueName="[Range 1].[OrderDate].[All]" allUniqueName="[Range 1].[OrderDate].[All]" dimensionUniqueName="[Range 1]" displayFolder="" count="2" memberValueDatatype="130" unbalanced="0"/>
    <cacheHierarchy uniqueName="[Range 1].[Week day]" caption="Week day" attribute="1" defaultMemberUniqueName="[Range 1].[Week day].[All]" allUniqueName="[Range 1].[Week day].[All]" dimensionUniqueName="[Range 1]" displayFolder="" count="2" memberValueDatatype="20" unbalanced="0"/>
    <cacheHierarchy uniqueName="[Range 1].[Time]" caption="Time" attribute="1" time="1" defaultMemberUniqueName="[Range 1].[Time].[All]" allUniqueName="[Range 1].[Time].[All]" dimensionUniqueName="[Range 1]" displayFolder="" count="2" memberValueDatatype="7" unbalanced="0"/>
    <cacheHierarchy uniqueName="[Range 1].[RegionID]" caption="RegionID" attribute="1" defaultMemberUniqueName="[Range 1].[RegionID].[All]" allUniqueName="[Range 1].[RegionID].[All]" dimensionUniqueName="[Range 1]" displayFolder="" count="2" memberValueDatatype="130" unbalanced="0"/>
    <cacheHierarchy uniqueName="[Range 1].[RegionName]" caption="RegionName" attribute="1" defaultMemberUniqueName="[Range 1].[RegionName].[All]" allUniqueName="[Range 1].[RegionName].[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ProductName]" caption="ProductName" attribute="1" defaultMemberUniqueName="[Range 1].[ProductName].[All]" allUniqueName="[Range 1].[ProductName].[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SalesAmount]" caption="SalesAmount" attribute="1" defaultMemberUniqueName="[Range 1].[SalesAmount].[All]" allUniqueName="[Range 1].[SalesAmount].[All]" dimensionUniqueName="[Range 1]" displayFolder="" count="2" memberValueDatatype="20" unbalanced="0"/>
    <cacheHierarchy uniqueName="[Range 1].[Time (Hour)]" caption="Time (Hour)" attribute="1" defaultMemberUniqueName="[Range 1].[Time (Hour)].[All]" allUniqueName="[Range 1].[Time (Hour)].[All]" dimensionUniqueName="[Range 1]" displayFolder="" count="2" memberValueDatatype="130" unbalanced="0"/>
    <cacheHierarchy uniqueName="[Range 1].[Time (Minute)]" caption="Time (Minute)" attribute="1" defaultMemberUniqueName="[Range 1].[Time (Minute)].[All]" allUniqueName="[Range 1].[Time (Minute)].[All]" dimensionUniqueName="[Range 1]" displayFolder="" count="2" memberValueDatatype="130" unbalanced="0"/>
    <cacheHierarchy uniqueName="[Range 1].[Time (Second)]" caption="Time (Second)" attribute="1" defaultMemberUniqueName="[Range 1].[Time (Second)].[All]" allUniqueName="[Range 1].[Time (Second)].[All]" dimensionUniqueName="[Range 1]" displayFolder="" count="2" memberValueDatatype="130" unbalanced="0"/>
    <cacheHierarchy uniqueName="[Range 2].[OrderID]" caption="OrderID" attribute="1" defaultMemberUniqueName="[Range 2].[OrderID].[All]" allUniqueName="[Range 2].[OrderID].[All]" dimensionUniqueName="[Range 2]" displayFolder="" count="2" memberValueDatatype="20" unbalanced="0"/>
    <cacheHierarchy uniqueName="[Range 2].[ProductID]" caption="ProductID" attribute="1" defaultMemberUniqueName="[Range 2].[ProductID].[All]" allUniqueName="[Range 2].[ProductID].[All]" dimensionUniqueName="[Range 2]" displayFolder="" count="2" memberValueDatatype="130" unbalanced="0"/>
    <cacheHierarchy uniqueName="[Range 2].[OrderDate]" caption="OrderDate" attribute="1" defaultMemberUniqueName="[Range 2].[OrderDate].[All]" allUniqueName="[Range 2].[OrderDate].[All]" dimensionUniqueName="[Range 2]" displayFolder="" count="2" memberValueDatatype="130" unbalanced="0"/>
    <cacheHierarchy uniqueName="[Range 2].[RegionID]" caption="RegionID" attribute="1" defaultMemberUniqueName="[Range 2].[RegionID].[All]" allUniqueName="[Range 2].[RegionID].[All]" dimensionUniqueName="[Range 2]" displayFolder="" count="2" memberValueDatatype="130" unbalanced="0"/>
    <cacheHierarchy uniqueName="[Range 2].[RegionName]" caption="RegionName" attribute="1" defaultMemberUniqueName="[Range 2].[RegionName].[All]" allUniqueName="[Range 2].[RegionName].[All]" dimensionUniqueName="[Range 2]" displayFolder="" count="2" memberValueDatatype="130" unbalanced="0"/>
    <cacheHierarchy uniqueName="[Range 2].[Category]" caption="Category" attribute="1" defaultMemberUniqueName="[Range 2].[Category].[All]" allUniqueName="[Range 2].[Category].[All]" dimensionUniqueName="[Range 2]" displayFolder="" count="2" memberValueDatatype="130" unbalanced="0"/>
    <cacheHierarchy uniqueName="[Range 2].[ProductName]" caption="ProductName" attribute="1" defaultMemberUniqueName="[Range 2].[ProductName].[All]" allUniqueName="[Range 2].[ProductName].[All]" dimensionUniqueName="[Range 2]" displayFolder="" count="2" memberValueDatatype="130" unbalanced="0"/>
    <cacheHierarchy uniqueName="[Range 2].[Quantity]" caption="Quantity" attribute="1" defaultMemberUniqueName="[Range 2].[Quantity].[All]" allUniqueName="[Range 2].[Quantity].[All]" dimensionUniqueName="[Range 2]" displayFolder="" count="2" memberValueDatatype="20" unbalanced="0"/>
    <cacheHierarchy uniqueName="[Range 2].[SalesAmount]" caption="SalesAmount" attribute="1" defaultMemberUniqueName="[Range 2].[SalesAmount].[All]" allUniqueName="[Range 2].[SalesAmount].[All]" dimensionUniqueName="[Range 2]"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Amount]" caption="Sum of SalesAmount" measure="1" displayFolder="" measureGroup="Range 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2" count="0" hidden="1">
      <extLst>
        <ext xmlns:x15="http://schemas.microsoft.com/office/spreadsheetml/2010/11/main" uri="{B97F6D7D-B522-45F9-BDA1-12C45D357490}">
          <x15:cacheHierarchy aggregatedColumn="26"/>
        </ext>
      </extLst>
    </cacheHierarchy>
    <cacheHierarchy uniqueName="[Measures].[Sum of SalesAmount 2]" caption="Sum of SalesAmount 2" measure="1" displayFolder="" measureGroup="Range 2" count="0" hidden="1">
      <extLst>
        <ext xmlns:x15="http://schemas.microsoft.com/office/spreadsheetml/2010/11/main" uri="{B97F6D7D-B522-45F9-BDA1-12C45D357490}">
          <x15:cacheHierarchy aggregatedColumn="27"/>
        </ext>
      </extLst>
    </cacheHierarchy>
    <cacheHierarchy uniqueName="[Measures].[Sum of OrderID]" caption="Sum of OrderID" measure="1" displayFolder="" measureGroup="Range 1"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6">
    <map measureGroup="0" dimension="1"/>
    <map measureGroup="1" dimension="1"/>
    <map measureGroup="1" dimension="2"/>
    <map measureGroup="2" dimension="1"/>
    <map measureGroup="2" dimension="2"/>
    <map measureGroup="2" dimension="3"/>
  </maps>
  <extLst>
    <ext xmlns:x14="http://schemas.microsoft.com/office/spreadsheetml/2009/9/main" uri="{725AE2AE-9491-48be-B2B4-4EB974FC3084}">
      <x14:pivotCacheDefinition slicerData="1" pivotCacheId="2051744208"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691820254629" backgroundQuery="1" createdVersion="3" refreshedVersion="8" minRefreshableVersion="3" recordCount="0" supportSubquery="1" supportAdvancedDrill="1" xr:uid="{4C885CCB-2E33-413F-A093-44EE95FB84B0}">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Measures]" caption="Measures" attribute="1" keyAttribute="1" defaultMemberUniqueName="[Measures].[__No measures defined]" dimensionUniqueName="[Measures]" displayFolder="" measures="1" count="1" memberValueDatatype="130" unbalanced="0"/>
    <cacheHierarchy uniqueName="[Range].[Time]" caption="Time" attribute="1" time="1" defaultMemberUniqueName="[Range].[Time].[All]" allUniqueName="[Range].[Time].[All]" dimensionUniqueName="[Range]" displayFolder="" count="2" memberValueDatatype="7" unbalanced="0"/>
    <cacheHierarchy uniqueName="[Range].[Time (Hour)]" caption="Time (Hour)" attribute="1" defaultMemberUniqueName="[Range].[Time (Hour)].[All]" allUniqueName="[Range].[Time (Hour)].[All]" dimensionUniqueName="[Range]" displayFolder="" count="2" memberValueDatatype="130" unbalanced="0"/>
    <cacheHierarchy uniqueName="[Range].[Time (Minute)]" caption="Time (Minute)" attribute="1" defaultMemberUniqueName="[Range].[Time (Minute)].[All]" allUniqueName="[Range].[Time (Minute)].[All]" dimensionUniqueName="[Range]" displayFolder="" count="2" memberValueDatatype="130" unbalanced="0"/>
    <cacheHierarchy uniqueName="[Range].[Time (Second)]" caption="Time (Second)" attribute="1" defaultMemberUniqueName="[Range].[Time (Second)].[All]" allUniqueName="[Range].[Time (Second)].[All]" dimensionUniqueName="[Range]" displayFolder="" count="2" memberValueDatatype="130" unbalanced="0"/>
    <cacheHierarchy uniqueName="[Range 1].[OrderID]" caption="OrderID" attribute="1" defaultMemberUniqueName="[Range 1].[OrderID].[All]" allUniqueName="[Range 1].[OrderID].[All]" dimensionUniqueName="[Range 1]" displayFolder="" count="2" memberValueDatatype="20" unbalanced="0"/>
    <cacheHierarchy uniqueName="[Range 1].[ProductID]" caption="ProductID" attribute="1" defaultMemberUniqueName="[Range 1].[ProductID].[All]" allUniqueName="[Range 1].[ProductID].[All]" dimensionUniqueName="[Range 1]" displayFolder="" count="2" memberValueDatatype="130" unbalanced="0"/>
    <cacheHierarchy uniqueName="[Range 1].[OrderDate]" caption="OrderDate" attribute="1" defaultMemberUniqueName="[Range 1].[OrderDate].[All]" allUniqueName="[Range 1].[OrderDate].[All]" dimensionUniqueName="[Range 1]" displayFolder="" count="2" memberValueDatatype="130" unbalanced="0"/>
    <cacheHierarchy uniqueName="[Range 1].[Week day]" caption="Week day" attribute="1" defaultMemberUniqueName="[Range 1].[Week day].[All]" allUniqueName="[Range 1].[Week day].[All]" dimensionUniqueName="[Range 1]" displayFolder="" count="2" memberValueDatatype="20" unbalanced="0"/>
    <cacheHierarchy uniqueName="[Range 1].[Time]" caption="Time" attribute="1" time="1" defaultMemberUniqueName="[Range 1].[Time].[All]" allUniqueName="[Range 1].[Time].[All]" dimensionUniqueName="[Range 1]" displayFolder="" count="2" memberValueDatatype="7" unbalanced="0"/>
    <cacheHierarchy uniqueName="[Range 1].[RegionID]" caption="RegionID" attribute="1" defaultMemberUniqueName="[Range 1].[RegionID].[All]" allUniqueName="[Range 1].[RegionID].[All]" dimensionUniqueName="[Range 1]" displayFolder="" count="2" memberValueDatatype="130" unbalanced="0"/>
    <cacheHierarchy uniqueName="[Range 1].[RegionName]" caption="RegionName" attribute="1" defaultMemberUniqueName="[Range 1].[RegionName].[All]" allUniqueName="[Range 1].[RegionName].[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ProductName]" caption="ProductName" attribute="1" defaultMemberUniqueName="[Range 1].[ProductName].[All]" allUniqueName="[Range 1].[ProductName].[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SalesAmount]" caption="SalesAmount" attribute="1" defaultMemberUniqueName="[Range 1].[SalesAmount].[All]" allUniqueName="[Range 1].[SalesAmount].[All]" dimensionUniqueName="[Range 1]" displayFolder="" count="2" memberValueDatatype="20" unbalanced="0"/>
    <cacheHierarchy uniqueName="[Range 1].[Time (Hour)]" caption="Time (Hour)" attribute="1" defaultMemberUniqueName="[Range 1].[Time (Hour)].[All]" allUniqueName="[Range 1].[Time (Hour)].[All]" dimensionUniqueName="[Range 1]" displayFolder="" count="2" memberValueDatatype="130" unbalanced="0"/>
    <cacheHierarchy uniqueName="[Range 1].[Time (Minute)]" caption="Time (Minute)" attribute="1" defaultMemberUniqueName="[Range 1].[Time (Minute)].[All]" allUniqueName="[Range 1].[Time (Minute)].[All]" dimensionUniqueName="[Range 1]" displayFolder="" count="2" memberValueDatatype="130" unbalanced="0"/>
    <cacheHierarchy uniqueName="[Range 1].[Time (Second)]" caption="Time (Second)" attribute="1" defaultMemberUniqueName="[Range 1].[Time (Second)].[All]" allUniqueName="[Range 1].[Time (Second)].[All]" dimensionUniqueName="[Range 1]" displayFolder="" count="2" memberValueDatatype="130" unbalanced="0"/>
    <cacheHierarchy uniqueName="[Range 2].[OrderID]" caption="OrderID" attribute="1" defaultMemberUniqueName="[Range 2].[OrderID].[All]" allUniqueName="[Range 2].[OrderID].[All]" dimensionUniqueName="[Range 2]" displayFolder="" count="2" memberValueDatatype="20" unbalanced="0"/>
    <cacheHierarchy uniqueName="[Range 2].[ProductID]" caption="ProductID" attribute="1" defaultMemberUniqueName="[Range 2].[ProductID].[All]" allUniqueName="[Range 2].[ProductID].[All]" dimensionUniqueName="[Range 2]" displayFolder="" count="2" memberValueDatatype="130" unbalanced="0"/>
    <cacheHierarchy uniqueName="[Range 2].[OrderDate]" caption="OrderDate" attribute="1" defaultMemberUniqueName="[Range 2].[OrderDate].[All]" allUniqueName="[Range 2].[OrderDate].[All]" dimensionUniqueName="[Range 2]" displayFolder="" count="2" memberValueDatatype="130" unbalanced="0"/>
    <cacheHierarchy uniqueName="[Range 2].[RegionID]" caption="RegionID" attribute="1" defaultMemberUniqueName="[Range 2].[RegionID].[All]" allUniqueName="[Range 2].[RegionID].[All]" dimensionUniqueName="[Range 2]" displayFolder="" count="2" memberValueDatatype="130" unbalanced="0"/>
    <cacheHierarchy uniqueName="[Range 2].[RegionName]" caption="RegionName" attribute="1" defaultMemberUniqueName="[Range 2].[RegionName].[All]" allUniqueName="[Range 2].[RegionName].[All]" dimensionUniqueName="[Range 2]" displayFolder="" count="2" memberValueDatatype="130" unbalanced="0"/>
    <cacheHierarchy uniqueName="[Range 2].[Category]" caption="Category" attribute="1" defaultMemberUniqueName="[Range 2].[Category].[All]" allUniqueName="[Range 2].[Category].[All]" dimensionUniqueName="[Range 2]" displayFolder="" count="2" memberValueDatatype="130" unbalanced="0"/>
    <cacheHierarchy uniqueName="[Range 2].[ProductName]" caption="ProductName" attribute="1" defaultMemberUniqueName="[Range 2].[ProductName].[All]" allUniqueName="[Range 2].[ProductName].[All]" dimensionUniqueName="[Range 2]" displayFolder="" count="2" memberValueDatatype="130" unbalanced="0"/>
    <cacheHierarchy uniqueName="[Range 2].[Quantity]" caption="Quantity" attribute="1" defaultMemberUniqueName="[Range 2].[Quantity].[All]" allUniqueName="[Range 2].[Quantity].[All]" dimensionUniqueName="[Range 2]" displayFolder="" count="2" memberValueDatatype="20" unbalanced="0"/>
    <cacheHierarchy uniqueName="[Range 2].[SalesAmount]" caption="SalesAmount" attribute="1" defaultMemberUniqueName="[Range 2].[SalesAmount].[All]" allUniqueName="[Range 2].[SalesAmount].[All]" dimensionUniqueName="[Range 2]"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Amount]" caption="Sum of SalesAmount" measure="1" displayFolder="" measureGroup="Range 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2" count="0" hidden="1">
      <extLst>
        <ext xmlns:x15="http://schemas.microsoft.com/office/spreadsheetml/2010/11/main" uri="{B97F6D7D-B522-45F9-BDA1-12C45D357490}">
          <x15:cacheHierarchy aggregatedColumn="26"/>
        </ext>
      </extLst>
    </cacheHierarchy>
    <cacheHierarchy uniqueName="[Measures].[Sum of SalesAmount 2]" caption="Sum of SalesAmount 2" measure="1" displayFolder="" measureGroup="Range 2" count="0" hidden="1">
      <extLst>
        <ext xmlns:x15="http://schemas.microsoft.com/office/spreadsheetml/2010/11/main" uri="{B97F6D7D-B522-45F9-BDA1-12C45D357490}">
          <x15:cacheHierarchy aggregatedColumn="27"/>
        </ext>
      </extLst>
    </cacheHierarchy>
    <cacheHierarchy uniqueName="[Measures].[Sum of OrderID]" caption="Sum of OrderID" measure="1" displayFolder="" measureGroup="Range 1"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6">
    <map measureGroup="0" dimension="1"/>
    <map measureGroup="1" dimension="1"/>
    <map measureGroup="1" dimension="2"/>
    <map measureGroup="2" dimension="1"/>
    <map measureGroup="2" dimension="2"/>
    <map measureGroup="2" dimension="3"/>
  </maps>
  <extLst>
    <ext xmlns:x14="http://schemas.microsoft.com/office/spreadsheetml/2009/9/main" uri="{725AE2AE-9491-48be-B2B4-4EB974FC3084}">
      <x14:pivotCacheDefinition pivotCacheId="19464705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61.710583333333" backgroundQuery="1" createdVersion="3" refreshedVersion="8" minRefreshableVersion="3" recordCount="0" supportSubquery="1" supportAdvancedDrill="1" xr:uid="{E74ED478-6B3D-4D5A-A5F6-25F13B5F33EE}">
  <cacheSource type="external" connectionId="1">
    <extLst>
      <ext xmlns:x14="http://schemas.microsoft.com/office/spreadsheetml/2009/9/main" uri="{F057638F-6D5F-4e77-A914-E7F072B9BCA8}">
        <x14:sourceConnection name="ThisWorkbookDataModel"/>
      </ext>
    </extLst>
  </cacheSource>
  <cacheFields count="0"/>
  <cacheHierarchies count="36">
    <cacheHierarchy uniqueName="[Measures]" caption="Measures" attribute="1" keyAttribute="1" defaultMemberUniqueName="[Measures].[__No measures defined]" dimensionUniqueName="[Measures]" displayFolder="" measures="1" count="1" memberValueDatatype="130" unbalanced="0"/>
    <cacheHierarchy uniqueName="[Range].[Time]" caption="Time" attribute="1" time="1" defaultMemberUniqueName="[Range].[Time].[All]" allUniqueName="[Range].[Time].[All]" dimensionUniqueName="[Range]" displayFolder="" count="2" memberValueDatatype="7" unbalanced="0"/>
    <cacheHierarchy uniqueName="[Range].[Time (Hour)]" caption="Time (Hour)" attribute="1" defaultMemberUniqueName="[Range].[Time (Hour)].[All]" allUniqueName="[Range].[Time (Hour)].[All]" dimensionUniqueName="[Range]" displayFolder="" count="2" memberValueDatatype="130" unbalanced="0"/>
    <cacheHierarchy uniqueName="[Range].[Time (Minute)]" caption="Time (Minute)" attribute="1" defaultMemberUniqueName="[Range].[Time (Minute)].[All]" allUniqueName="[Range].[Time (Minute)].[All]" dimensionUniqueName="[Range]" displayFolder="" count="2" memberValueDatatype="130" unbalanced="0"/>
    <cacheHierarchy uniqueName="[Range].[Time (Second)]" caption="Time (Second)" attribute="1" defaultMemberUniqueName="[Range].[Time (Second)].[All]" allUniqueName="[Range].[Time (Second)].[All]" dimensionUniqueName="[Range]" displayFolder="" count="2" memberValueDatatype="130" unbalanced="0"/>
    <cacheHierarchy uniqueName="[Range 1].[OrderID]" caption="OrderID" attribute="1" defaultMemberUniqueName="[Range 1].[OrderID].[All]" allUniqueName="[Range 1].[OrderID].[All]" dimensionUniqueName="[Range 1]" displayFolder="" count="2" memberValueDatatype="20" unbalanced="0"/>
    <cacheHierarchy uniqueName="[Range 1].[ProductID]" caption="ProductID" attribute="1" defaultMemberUniqueName="[Range 1].[ProductID].[All]" allUniqueName="[Range 1].[ProductID].[All]" dimensionUniqueName="[Range 1]" displayFolder="" count="2" memberValueDatatype="130" unbalanced="0"/>
    <cacheHierarchy uniqueName="[Range 1].[OrderDate]" caption="OrderDate" attribute="1" defaultMemberUniqueName="[Range 1].[OrderDate].[All]" allUniqueName="[Range 1].[OrderDate].[All]" dimensionUniqueName="[Range 1]" displayFolder="" count="2" memberValueDatatype="130" unbalanced="0"/>
    <cacheHierarchy uniqueName="[Range 1].[Week day]" caption="Week day" attribute="1" defaultMemberUniqueName="[Range 1].[Week day].[All]" allUniqueName="[Range 1].[Week day].[All]" dimensionUniqueName="[Range 1]" displayFolder="" count="2" memberValueDatatype="20" unbalanced="0"/>
    <cacheHierarchy uniqueName="[Range 1].[Time]" caption="Time" attribute="1" time="1" defaultMemberUniqueName="[Range 1].[Time].[All]" allUniqueName="[Range 1].[Time].[All]" dimensionUniqueName="[Range 1]" displayFolder="" count="2" memberValueDatatype="7" unbalanced="0"/>
    <cacheHierarchy uniqueName="[Range 1].[RegionID]" caption="RegionID" attribute="1" defaultMemberUniqueName="[Range 1].[RegionID].[All]" allUniqueName="[Range 1].[RegionID].[All]" dimensionUniqueName="[Range 1]" displayFolder="" count="2" memberValueDatatype="130" unbalanced="0"/>
    <cacheHierarchy uniqueName="[Range 1].[RegionName]" caption="RegionName" attribute="1" defaultMemberUniqueName="[Range 1].[RegionName].[All]" allUniqueName="[Range 1].[RegionName].[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ProductName]" caption="ProductName" attribute="1" defaultMemberUniqueName="[Range 1].[ProductName].[All]" allUniqueName="[Range 1].[ProductName].[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SalesAmount]" caption="SalesAmount" attribute="1" defaultMemberUniqueName="[Range 1].[SalesAmount].[All]" allUniqueName="[Range 1].[SalesAmount].[All]" dimensionUniqueName="[Range 1]" displayFolder="" count="2" memberValueDatatype="20" unbalanced="0"/>
    <cacheHierarchy uniqueName="[Range 1].[Time (Hour)]" caption="Time (Hour)" attribute="1" defaultMemberUniqueName="[Range 1].[Time (Hour)].[All]" allUniqueName="[Range 1].[Time (Hour)].[All]" dimensionUniqueName="[Range 1]" displayFolder="" count="2" memberValueDatatype="130" unbalanced="0"/>
    <cacheHierarchy uniqueName="[Range 1].[Time (Minute)]" caption="Time (Minute)" attribute="1" defaultMemberUniqueName="[Range 1].[Time (Minute)].[All]" allUniqueName="[Range 1].[Time (Minute)].[All]" dimensionUniqueName="[Range 1]" displayFolder="" count="2" memberValueDatatype="130" unbalanced="0"/>
    <cacheHierarchy uniqueName="[Range 1].[Time (Second)]" caption="Time (Second)" attribute="1" defaultMemberUniqueName="[Range 1].[Time (Second)].[All]" allUniqueName="[Range 1].[Time (Second)].[All]" dimensionUniqueName="[Range 1]" displayFolder="" count="2" memberValueDatatype="130" unbalanced="0"/>
    <cacheHierarchy uniqueName="[Range 2].[OrderID]" caption="OrderID" attribute="1" defaultMemberUniqueName="[Range 2].[OrderID].[All]" allUniqueName="[Range 2].[OrderID].[All]" dimensionUniqueName="[Range 2]" displayFolder="" count="2" memberValueDatatype="20" unbalanced="0"/>
    <cacheHierarchy uniqueName="[Range 2].[ProductID]" caption="ProductID" attribute="1" defaultMemberUniqueName="[Range 2].[ProductID].[All]" allUniqueName="[Range 2].[ProductID].[All]" dimensionUniqueName="[Range 2]" displayFolder="" count="2" memberValueDatatype="130" unbalanced="0"/>
    <cacheHierarchy uniqueName="[Range 2].[OrderDate]" caption="OrderDate" attribute="1" defaultMemberUniqueName="[Range 2].[OrderDate].[All]" allUniqueName="[Range 2].[OrderDate].[All]" dimensionUniqueName="[Range 2]" displayFolder="" count="2" memberValueDatatype="130" unbalanced="0"/>
    <cacheHierarchy uniqueName="[Range 2].[RegionID]" caption="RegionID" attribute="1" defaultMemberUniqueName="[Range 2].[RegionID].[All]" allUniqueName="[Range 2].[RegionID].[All]" dimensionUniqueName="[Range 2]" displayFolder="" count="2" memberValueDatatype="130" unbalanced="0"/>
    <cacheHierarchy uniqueName="[Range 2].[RegionName]" caption="RegionName" attribute="1" defaultMemberUniqueName="[Range 2].[RegionName].[All]" allUniqueName="[Range 2].[RegionName].[All]" dimensionUniqueName="[Range 2]" displayFolder="" count="2" memberValueDatatype="130" unbalanced="0"/>
    <cacheHierarchy uniqueName="[Range 2].[Category]" caption="Category" attribute="1" defaultMemberUniqueName="[Range 2].[Category].[All]" allUniqueName="[Range 2].[Category].[All]" dimensionUniqueName="[Range 2]" displayFolder="" count="2" memberValueDatatype="130" unbalanced="0"/>
    <cacheHierarchy uniqueName="[Range 2].[ProductName]" caption="ProductName" attribute="1" defaultMemberUniqueName="[Range 2].[ProductName].[All]" allUniqueName="[Range 2].[ProductName].[All]" dimensionUniqueName="[Range 2]" displayFolder="" count="2" memberValueDatatype="130" unbalanced="0"/>
    <cacheHierarchy uniqueName="[Range 2].[Quantity]" caption="Quantity" attribute="1" defaultMemberUniqueName="[Range 2].[Quantity].[All]" allUniqueName="[Range 2].[Quantity].[All]" dimensionUniqueName="[Range 2]" displayFolder="" count="2" memberValueDatatype="20" unbalanced="0"/>
    <cacheHierarchy uniqueName="[Range 2].[SalesAmount]" caption="SalesAmount" attribute="1" defaultMemberUniqueName="[Range 2].[SalesAmount].[All]" allUniqueName="[Range 2].[SalesAmount].[All]" dimensionUniqueName="[Range 2]"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alesAmount]" caption="Sum of SalesAmount" measure="1" displayFolder="" measureGroup="Range 1"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 2" count="0" hidden="1">
      <extLst>
        <ext xmlns:x15="http://schemas.microsoft.com/office/spreadsheetml/2010/11/main" uri="{B97F6D7D-B522-45F9-BDA1-12C45D357490}">
          <x15:cacheHierarchy aggregatedColumn="26"/>
        </ext>
      </extLst>
    </cacheHierarchy>
    <cacheHierarchy uniqueName="[Measures].[Sum of SalesAmount 2]" caption="Sum of SalesAmount 2" measure="1" displayFolder="" measureGroup="Range 2" count="0" hidden="1">
      <extLst>
        <ext xmlns:x15="http://schemas.microsoft.com/office/spreadsheetml/2010/11/main" uri="{B97F6D7D-B522-45F9-BDA1-12C45D357490}">
          <x15:cacheHierarchy aggregatedColumn="27"/>
        </ext>
      </extLst>
    </cacheHierarchy>
    <cacheHierarchy uniqueName="[Measures].[Sum of OrderID]" caption="Sum of OrderID" measure="1" displayFolder="" measureGroup="Range 1" count="0" hidden="1">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6">
    <map measureGroup="0" dimension="1"/>
    <map measureGroup="1" dimension="1"/>
    <map measureGroup="1" dimension="2"/>
    <map measureGroup="2" dimension="1"/>
    <map measureGroup="2" dimension="2"/>
    <map measureGroup="2" dimension="3"/>
  </maps>
  <extLst>
    <ext xmlns:x14="http://schemas.microsoft.com/office/spreadsheetml/2009/9/main" uri="{725AE2AE-9491-48be-B2B4-4EB974FC3084}">
      <x14:pivotCacheDefinition pivotCacheId="2331601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508B3-03FF-4D90-9447-EA171BC65F2B}" name="PivotTable5" cacheId="4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4">
    <pivotField allDrilled="1" subtotalTop="0" showAll="0" dataSourceSort="1" defaultSubtotal="0" defaultAttributeDrillState="1">
      <items count="5">
        <item s="1" x="0"/>
        <item s="1" x="1"/>
        <item s="1" x="2"/>
        <item s="1" x="3"/>
        <item s="1"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sortType="ascending"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Amount" fld="2"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f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2]"/>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448B7C-A43F-4305-BA0E-73D589506514}" name="PivotTable2" cacheId="4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10" firstHeaderRow="1" firstDataRow="2" firstDataCol="1"/>
  <pivotFields count="4">
    <pivotField allDrilled="1" subtotalTop="0" showAll="0" dataSourceSort="1" defaultSubtotal="0" defaultAttributeDrillState="1"/>
    <pivotField axis="axisCol" allDrilled="1" subtotalTop="0" showAll="0" dataSourceSort="1" defaultSubtotal="0" defaultAttributeDrillState="1">
      <items count="1">
        <item x="0"/>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Fields count="1">
    <field x="1"/>
  </colFields>
  <colItems count="2">
    <i>
      <x/>
    </i>
    <i t="grand">
      <x/>
    </i>
  </colItems>
  <dataFields count="1">
    <dataField name="Sum of SalesAmount" fld="3" baseField="0" baseItem="0"/>
  </dataFields>
  <pivotHierarchies count="35">
    <pivotHierarchy dragToData="1"/>
    <pivotHierarchy dragToData="1"/>
    <pivotHierarchy dragToData="1"/>
    <pivotHierarchy dragToData="1">
      <members count="5" level="1">
        <member name="[Range].[Time (Second)].&amp;[04]"/>
        <member name="[Range].[Time (Second)].&amp;[18]"/>
        <member name="[Range].[Time (Second)].&amp;[25]"/>
        <member name="[Range].[Time (Second)].&amp;[35]"/>
        <member name="[Range].[Time (Second)].&amp;[5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Amount" xr10:uid="{73F9D998-6788-433C-969D-9EC28A89C196}" sourceName="[Range 2].[SalesAmount]">
  <data>
    <olap pivotCacheId="2051744208">
      <levels count="2">
        <level uniqueName="[Range 2].[SalesAmount].[(All)]" sourceCaption="(All)" count="0"/>
        <level uniqueName="[Range 2].[SalesAmount].[SalesAmount]" sourceCaption="SalesAmount" count="10">
          <ranges>
            <range startItem="0">
              <i n="[Range 2].[SalesAmount].&amp;" c="(blank)"/>
              <i n="[Range 2].[SalesAmount].&amp;[250]" c="250"/>
              <i n="[Range 2].[SalesAmount].&amp;[300]" c="300"/>
              <i n="[Range 2].[SalesAmount].&amp;[450]" c="450"/>
              <i n="[Range 2].[SalesAmount].&amp;[500]" c="500"/>
              <i n="[Range 2].[SalesAmount].&amp;[800]" c="800"/>
              <i n="[Range 2].[SalesAmount].&amp;[1200]" c="1200"/>
              <i n="[Range 2].[SalesAmount].&amp;[1500]" c="1500"/>
              <i n="[Range 2].[SalesAmount].&amp;[1800]" c="1800"/>
              <i n="[Range 2].[SalesAmount].&amp;[3200]" c="3200"/>
            </range>
          </ranges>
        </level>
      </levels>
      <selections count="1">
        <selection n="[Range 2].[SalesAmou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Amount" xr10:uid="{0A6147F6-95F7-4F8E-BBB9-1DA4C040C779}" cache="Slicer_SalesAmount" caption="SalesAmount" startItem="2" level="1"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ime" xr10:uid="{6FA2C920-4959-415D-BCE3-1E06E79A2BD0}" sourceName="[Range].[Time]">
  <state minimalRefreshVersion="6" lastRefreshVersion="6" pivotCacheId="1946470542" filterType="unknown">
    <bounds startDate="1899-12-31T01:32:35" endDate="1901-01-01T01:52:04"/>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ime1" xr10:uid="{B7ABC696-E71E-4CE5-A430-A1769FF8EE2E}" sourceName="[Range].[Time]">
  <state minimalRefreshVersion="6" lastRefreshVersion="6" pivotCacheId="233160141" filterType="unknown">
    <bounds startDate="1899-12-31T01:32:35" endDate="1901-01-01T01:52:0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8CEDFB61-FA37-42EE-AED1-37B49FDA5F5F}" cache="Timeline_Time" caption="Time" level="2" selectionLevel="2" scrollPosition="1900-05-11T00:00:00"/>
  <timeline name="Time" xr10:uid="{586FA07F-620E-4D06-AABC-12997C2F0EE6}" cache="Timeline_Time1" caption="Time" level="2" selectionLevel="2" scrollPosition="1900-06-0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workbookViewId="0">
      <selection activeCell="E20" sqref="E20"/>
    </sheetView>
  </sheetViews>
  <sheetFormatPr defaultRowHeight="16.5" x14ac:dyDescent="0.3"/>
  <cols>
    <col min="1" max="2" width="9" style="2"/>
    <col min="3" max="3" width="11.5" style="2" customWidth="1"/>
    <col min="4" max="4" width="8.875" style="2" customWidth="1"/>
    <col min="5" max="5" width="12.375" style="2" customWidth="1"/>
    <col min="6" max="6" width="11.875" style="2" customWidth="1"/>
    <col min="7" max="7" width="12.875" style="2" customWidth="1"/>
    <col min="8" max="8" width="13.5" style="2" customWidth="1"/>
    <col min="9" max="9" width="14.875" style="2" customWidth="1"/>
    <col min="10" max="16384" width="9" style="2"/>
  </cols>
  <sheetData>
    <row r="1" spans="1:9" x14ac:dyDescent="0.3">
      <c r="A1" s="1" t="s">
        <v>0</v>
      </c>
      <c r="B1" s="1" t="s">
        <v>2</v>
      </c>
      <c r="C1" s="1" t="s">
        <v>1</v>
      </c>
      <c r="D1" s="1" t="s">
        <v>3</v>
      </c>
      <c r="E1" s="1" t="s">
        <v>36</v>
      </c>
      <c r="F1" s="1" t="s">
        <v>26</v>
      </c>
      <c r="G1" s="1" t="s">
        <v>25</v>
      </c>
      <c r="H1" s="1" t="s">
        <v>4</v>
      </c>
      <c r="I1" s="1" t="s">
        <v>5</v>
      </c>
    </row>
    <row r="2" spans="1:9" x14ac:dyDescent="0.3">
      <c r="A2" s="3">
        <v>1001</v>
      </c>
      <c r="B2" s="3" t="s">
        <v>7</v>
      </c>
      <c r="C2" s="3" t="s">
        <v>6</v>
      </c>
      <c r="D2" s="3" t="s">
        <v>8</v>
      </c>
      <c r="E2" s="3" t="s">
        <v>37</v>
      </c>
      <c r="F2" s="3" t="s">
        <v>28</v>
      </c>
      <c r="G2" s="3" t="s">
        <v>27</v>
      </c>
      <c r="H2" s="3">
        <v>2</v>
      </c>
      <c r="I2" s="3">
        <v>500</v>
      </c>
    </row>
    <row r="3" spans="1:9" x14ac:dyDescent="0.3">
      <c r="A3" s="3">
        <v>1002</v>
      </c>
      <c r="B3" s="3" t="s">
        <v>10</v>
      </c>
      <c r="C3" s="3" t="s">
        <v>9</v>
      </c>
      <c r="D3" s="3" t="s">
        <v>11</v>
      </c>
      <c r="E3" s="3" t="s">
        <v>38</v>
      </c>
      <c r="F3" s="3" t="s">
        <v>28</v>
      </c>
      <c r="G3" s="3" t="s">
        <v>29</v>
      </c>
      <c r="H3" s="3">
        <v>1</v>
      </c>
      <c r="I3" s="3">
        <v>800</v>
      </c>
    </row>
    <row r="4" spans="1:9" x14ac:dyDescent="0.3">
      <c r="A4" s="3">
        <v>1003</v>
      </c>
      <c r="B4" s="3" t="s">
        <v>13</v>
      </c>
      <c r="C4" s="3" t="s">
        <v>12</v>
      </c>
      <c r="D4" s="3" t="s">
        <v>14</v>
      </c>
      <c r="E4" s="3" t="s">
        <v>39</v>
      </c>
      <c r="F4" s="3" t="s">
        <v>31</v>
      </c>
      <c r="G4" s="3" t="s">
        <v>30</v>
      </c>
      <c r="H4" s="3">
        <v>3</v>
      </c>
      <c r="I4" s="3">
        <v>450</v>
      </c>
    </row>
    <row r="5" spans="1:9" x14ac:dyDescent="0.3">
      <c r="A5" s="3">
        <v>1004</v>
      </c>
      <c r="B5" s="3" t="s">
        <v>16</v>
      </c>
      <c r="C5" s="3" t="s">
        <v>15</v>
      </c>
      <c r="D5" s="3" t="s">
        <v>17</v>
      </c>
      <c r="E5" s="3" t="s">
        <v>40</v>
      </c>
      <c r="F5" s="3" t="s">
        <v>33</v>
      </c>
      <c r="G5" s="3" t="s">
        <v>32</v>
      </c>
      <c r="H5" s="3">
        <v>5</v>
      </c>
      <c r="I5" s="3">
        <v>1500</v>
      </c>
    </row>
    <row r="6" spans="1:9" x14ac:dyDescent="0.3">
      <c r="A6" s="3">
        <v>1005</v>
      </c>
      <c r="B6" s="3" t="s">
        <v>19</v>
      </c>
      <c r="C6" s="3" t="s">
        <v>18</v>
      </c>
      <c r="D6" s="3" t="s">
        <v>8</v>
      </c>
      <c r="E6" s="3" t="s">
        <v>37</v>
      </c>
      <c r="F6" s="3" t="s">
        <v>35</v>
      </c>
      <c r="G6" s="3" t="s">
        <v>34</v>
      </c>
      <c r="H6" s="3">
        <v>2</v>
      </c>
      <c r="I6" s="3">
        <v>1200</v>
      </c>
    </row>
    <row r="7" spans="1:9" x14ac:dyDescent="0.3">
      <c r="A7" s="3">
        <v>1006</v>
      </c>
      <c r="B7" s="3" t="s">
        <v>7</v>
      </c>
      <c r="C7" s="3" t="s">
        <v>20</v>
      </c>
      <c r="D7" s="3" t="s">
        <v>11</v>
      </c>
      <c r="E7" s="3" t="s">
        <v>38</v>
      </c>
      <c r="F7" s="3" t="s">
        <v>28</v>
      </c>
      <c r="G7" s="3" t="s">
        <v>29</v>
      </c>
      <c r="H7" s="3">
        <v>1</v>
      </c>
      <c r="I7" s="3">
        <v>250</v>
      </c>
    </row>
    <row r="8" spans="1:9" x14ac:dyDescent="0.3">
      <c r="A8" s="3">
        <v>1007</v>
      </c>
      <c r="B8" s="3" t="s">
        <v>10</v>
      </c>
      <c r="C8" s="3" t="s">
        <v>21</v>
      </c>
      <c r="D8" s="3" t="s">
        <v>14</v>
      </c>
      <c r="E8" s="3" t="s">
        <v>39</v>
      </c>
      <c r="F8" s="3" t="s">
        <v>28</v>
      </c>
      <c r="G8" s="3" t="s">
        <v>27</v>
      </c>
      <c r="H8" s="3">
        <v>4</v>
      </c>
      <c r="I8" s="3">
        <v>3200</v>
      </c>
    </row>
    <row r="9" spans="1:9" x14ac:dyDescent="0.3">
      <c r="A9" s="3">
        <v>1008</v>
      </c>
      <c r="B9" s="3" t="s">
        <v>13</v>
      </c>
      <c r="C9" s="3" t="s">
        <v>22</v>
      </c>
      <c r="D9" s="3" t="s">
        <v>17</v>
      </c>
      <c r="E9" s="3" t="s">
        <v>40</v>
      </c>
      <c r="F9" s="3" t="s">
        <v>28</v>
      </c>
      <c r="G9" s="3" t="s">
        <v>29</v>
      </c>
      <c r="H9" s="3">
        <v>2</v>
      </c>
      <c r="I9" s="3">
        <v>300</v>
      </c>
    </row>
    <row r="10" spans="1:9" x14ac:dyDescent="0.3">
      <c r="A10" s="3">
        <v>1009</v>
      </c>
      <c r="B10" s="3" t="s">
        <v>16</v>
      </c>
      <c r="C10" s="3" t="s">
        <v>23</v>
      </c>
      <c r="D10" s="3" t="s">
        <v>8</v>
      </c>
      <c r="E10" s="3" t="s">
        <v>37</v>
      </c>
      <c r="F10" s="3" t="s">
        <v>31</v>
      </c>
      <c r="G10" s="3" t="s">
        <v>30</v>
      </c>
      <c r="H10" s="3">
        <v>1</v>
      </c>
      <c r="I10" s="3">
        <v>300</v>
      </c>
    </row>
    <row r="11" spans="1:9" x14ac:dyDescent="0.3">
      <c r="A11" s="3">
        <v>1010</v>
      </c>
      <c r="B11" s="3" t="s">
        <v>19</v>
      </c>
      <c r="C11" s="3" t="s">
        <v>24</v>
      </c>
      <c r="D11" s="3" t="s">
        <v>11</v>
      </c>
      <c r="E11" s="3" t="s">
        <v>38</v>
      </c>
      <c r="F11" s="3" t="s">
        <v>33</v>
      </c>
      <c r="G11" s="3" t="s">
        <v>32</v>
      </c>
      <c r="H11" s="3">
        <v>3</v>
      </c>
      <c r="I11" s="3">
        <v>1800</v>
      </c>
    </row>
  </sheetData>
  <autoFilter ref="A1:I11" xr:uid="{00000000-0001-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0117-4E3C-4E36-BF6D-3659BC96562E}">
  <dimension ref="A3:B9"/>
  <sheetViews>
    <sheetView workbookViewId="0">
      <selection activeCell="A3" sqref="A3"/>
    </sheetView>
  </sheetViews>
  <sheetFormatPr defaultRowHeight="16.5" x14ac:dyDescent="0.3"/>
  <cols>
    <col min="1" max="1" width="13" customWidth="1"/>
    <col min="2" max="2" width="19.5" customWidth="1"/>
    <col min="3" max="3" width="6.875" customWidth="1"/>
    <col min="4" max="4" width="6.5" bestFit="1" customWidth="1"/>
    <col min="5" max="5" width="5.5" bestFit="1" customWidth="1"/>
    <col min="6" max="6" width="5.875" bestFit="1" customWidth="1"/>
    <col min="7" max="7" width="9.875" bestFit="1" customWidth="1"/>
    <col min="8" max="11" width="6" bestFit="1" customWidth="1"/>
    <col min="12" max="12" width="9.875" bestFit="1" customWidth="1"/>
  </cols>
  <sheetData>
    <row r="3" spans="1:2" x14ac:dyDescent="0.3">
      <c r="A3" s="5" t="s">
        <v>46</v>
      </c>
      <c r="B3" t="s">
        <v>47</v>
      </c>
    </row>
    <row r="4" spans="1:2" x14ac:dyDescent="0.3">
      <c r="A4" s="6" t="s">
        <v>32</v>
      </c>
      <c r="B4" s="7">
        <v>3300</v>
      </c>
    </row>
    <row r="5" spans="1:2" x14ac:dyDescent="0.3">
      <c r="A5" s="6" t="s">
        <v>27</v>
      </c>
      <c r="B5" s="7">
        <v>3700</v>
      </c>
    </row>
    <row r="6" spans="1:2" x14ac:dyDescent="0.3">
      <c r="A6" s="6" t="s">
        <v>29</v>
      </c>
      <c r="B6" s="7">
        <v>1350</v>
      </c>
    </row>
    <row r="7" spans="1:2" x14ac:dyDescent="0.3">
      <c r="A7" s="6" t="s">
        <v>34</v>
      </c>
      <c r="B7" s="7">
        <v>1200</v>
      </c>
    </row>
    <row r="8" spans="1:2" x14ac:dyDescent="0.3">
      <c r="A8" s="6" t="s">
        <v>30</v>
      </c>
      <c r="B8" s="7">
        <v>750</v>
      </c>
    </row>
    <row r="9" spans="1:2" x14ac:dyDescent="0.3">
      <c r="A9" s="6" t="s">
        <v>44</v>
      </c>
      <c r="B9" s="7">
        <v>10300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E6F9-2E88-491F-B051-3A381EC58411}">
  <dimension ref="A3:C10"/>
  <sheetViews>
    <sheetView workbookViewId="0">
      <selection activeCell="A3" sqref="A3"/>
    </sheetView>
  </sheetViews>
  <sheetFormatPr defaultRowHeight="16.5" x14ac:dyDescent="0.3"/>
  <cols>
    <col min="1" max="1" width="19.5" customWidth="1"/>
    <col min="2" max="2" width="16.25" customWidth="1"/>
    <col min="3" max="3" width="11.25" customWidth="1"/>
    <col min="4" max="6" width="5" customWidth="1"/>
    <col min="7" max="7" width="7.25" customWidth="1"/>
    <col min="8" max="8" width="11.25" customWidth="1"/>
    <col min="9" max="9" width="15.375" customWidth="1"/>
    <col min="10" max="10" width="20.5" customWidth="1"/>
    <col min="11" max="11" width="15.375" customWidth="1"/>
    <col min="12" max="12" width="20.5" customWidth="1"/>
    <col min="13" max="13" width="15.375" customWidth="1"/>
    <col min="14" max="14" width="25.625" customWidth="1"/>
    <col min="15" max="15" width="20.375" customWidth="1"/>
  </cols>
  <sheetData>
    <row r="3" spans="1:3" x14ac:dyDescent="0.3">
      <c r="A3" s="5" t="s">
        <v>47</v>
      </c>
      <c r="B3" s="5" t="s">
        <v>43</v>
      </c>
    </row>
    <row r="4" spans="1:3" x14ac:dyDescent="0.3">
      <c r="A4" s="5" t="s">
        <v>46</v>
      </c>
      <c r="B4" t="s">
        <v>45</v>
      </c>
      <c r="C4" t="s">
        <v>44</v>
      </c>
    </row>
    <row r="5" spans="1:3" x14ac:dyDescent="0.3">
      <c r="A5" s="6" t="s">
        <v>32</v>
      </c>
      <c r="B5" s="7">
        <v>3300</v>
      </c>
      <c r="C5" s="7">
        <v>3300</v>
      </c>
    </row>
    <row r="6" spans="1:3" x14ac:dyDescent="0.3">
      <c r="A6" s="6" t="s">
        <v>27</v>
      </c>
      <c r="B6" s="7">
        <v>3700</v>
      </c>
      <c r="C6" s="7">
        <v>3700</v>
      </c>
    </row>
    <row r="7" spans="1:3" x14ac:dyDescent="0.3">
      <c r="A7" s="6" t="s">
        <v>29</v>
      </c>
      <c r="B7" s="7">
        <v>1350</v>
      </c>
      <c r="C7" s="7">
        <v>1350</v>
      </c>
    </row>
    <row r="8" spans="1:3" x14ac:dyDescent="0.3">
      <c r="A8" s="6" t="s">
        <v>34</v>
      </c>
      <c r="B8" s="7">
        <v>1200</v>
      </c>
      <c r="C8" s="7">
        <v>1200</v>
      </c>
    </row>
    <row r="9" spans="1:3" x14ac:dyDescent="0.3">
      <c r="A9" s="6" t="s">
        <v>30</v>
      </c>
      <c r="B9" s="7">
        <v>750</v>
      </c>
      <c r="C9" s="7">
        <v>750</v>
      </c>
    </row>
    <row r="10" spans="1:3" x14ac:dyDescent="0.3">
      <c r="A10" s="6" t="s">
        <v>44</v>
      </c>
      <c r="B10" s="7">
        <v>10300</v>
      </c>
      <c r="C10" s="7">
        <v>10300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D0727-BF29-48CB-9E31-174F911AA987}">
  <dimension ref="A1:N11"/>
  <sheetViews>
    <sheetView tabSelected="1" workbookViewId="0">
      <selection activeCell="N11" sqref="A1:N11"/>
    </sheetView>
  </sheetViews>
  <sheetFormatPr defaultRowHeight="16.5" x14ac:dyDescent="0.3"/>
  <cols>
    <col min="3" max="3" width="10.625" customWidth="1"/>
    <col min="8" max="8" width="12.25" customWidth="1"/>
    <col min="11" max="11" width="12" customWidth="1"/>
    <col min="14" max="14" width="14.625" customWidth="1"/>
  </cols>
  <sheetData>
    <row r="1" spans="1:14" x14ac:dyDescent="0.3">
      <c r="A1" s="1" t="s">
        <v>0</v>
      </c>
      <c r="B1" s="1" t="s">
        <v>2</v>
      </c>
      <c r="C1" s="1" t="s">
        <v>1</v>
      </c>
      <c r="D1" s="1" t="s">
        <v>41</v>
      </c>
      <c r="E1" s="1" t="s">
        <v>42</v>
      </c>
      <c r="F1" s="1" t="s">
        <v>3</v>
      </c>
      <c r="G1" s="1" t="s">
        <v>36</v>
      </c>
      <c r="H1" s="1" t="s">
        <v>26</v>
      </c>
      <c r="I1" s="1" t="s">
        <v>25</v>
      </c>
      <c r="J1" s="1" t="s">
        <v>4</v>
      </c>
      <c r="K1" s="1" t="s">
        <v>5</v>
      </c>
      <c r="L1" s="8" t="s">
        <v>48</v>
      </c>
      <c r="M1" s="8" t="s">
        <v>49</v>
      </c>
      <c r="N1" s="8" t="s">
        <v>50</v>
      </c>
    </row>
    <row r="2" spans="1:14" x14ac:dyDescent="0.3">
      <c r="A2" s="3">
        <v>1001</v>
      </c>
      <c r="B2" s="3" t="s">
        <v>7</v>
      </c>
      <c r="C2" s="3" t="s">
        <v>6</v>
      </c>
      <c r="D2" s="3">
        <f>WEEKDAY(C2,2)</f>
        <v>1</v>
      </c>
      <c r="E2" s="4">
        <f>TIME(1,30,155)</f>
        <v>6.429398148148148E-2</v>
      </c>
      <c r="F2" s="3" t="s">
        <v>8</v>
      </c>
      <c r="G2" s="3" t="s">
        <v>37</v>
      </c>
      <c r="H2" s="3" t="s">
        <v>28</v>
      </c>
      <c r="I2" s="3" t="s">
        <v>27</v>
      </c>
      <c r="J2" s="3">
        <v>2</v>
      </c>
      <c r="K2" s="3">
        <v>500</v>
      </c>
      <c r="L2" s="3">
        <f>MONTH(C2)</f>
        <v>1</v>
      </c>
      <c r="M2" s="3">
        <f>HOUR(E2)</f>
        <v>1</v>
      </c>
      <c r="N2" s="13">
        <f>EDATE(C2,7)</f>
        <v>45505</v>
      </c>
    </row>
    <row r="3" spans="1:14" x14ac:dyDescent="0.3">
      <c r="A3" s="3">
        <v>1002</v>
      </c>
      <c r="B3" s="3" t="s">
        <v>10</v>
      </c>
      <c r="C3" s="9">
        <v>45325</v>
      </c>
      <c r="D3" s="3">
        <f t="shared" ref="D3:D11" si="0">WEEKDAY(C3,2)</f>
        <v>6</v>
      </c>
      <c r="E3" s="4">
        <f>TIME(2,50,124)</f>
        <v>0.11949074074074074</v>
      </c>
      <c r="F3" s="3" t="s">
        <v>11</v>
      </c>
      <c r="G3" s="3" t="s">
        <v>38</v>
      </c>
      <c r="H3" s="3" t="s">
        <v>28</v>
      </c>
      <c r="I3" s="3" t="s">
        <v>29</v>
      </c>
      <c r="J3" s="3">
        <v>1</v>
      </c>
      <c r="K3" s="3">
        <v>800</v>
      </c>
      <c r="L3" s="3">
        <f t="shared" ref="L3:L11" si="1">MONTH(C3)</f>
        <v>2</v>
      </c>
      <c r="M3" s="3">
        <f t="shared" ref="M3:M11" si="2">HOUR(E3)</f>
        <v>2</v>
      </c>
      <c r="N3" s="13">
        <f t="shared" ref="N3:N11" si="3">EDATE(C3,7)</f>
        <v>45538</v>
      </c>
    </row>
    <row r="4" spans="1:14" x14ac:dyDescent="0.3">
      <c r="A4" s="3">
        <v>1003</v>
      </c>
      <c r="B4" s="3" t="s">
        <v>13</v>
      </c>
      <c r="C4" s="9">
        <v>45355</v>
      </c>
      <c r="D4" s="3">
        <f t="shared" si="0"/>
        <v>1</v>
      </c>
      <c r="E4" s="4">
        <f>TIME(5,45,265)</f>
        <v>0.24265046296296297</v>
      </c>
      <c r="F4" s="3" t="s">
        <v>14</v>
      </c>
      <c r="G4" s="3" t="s">
        <v>39</v>
      </c>
      <c r="H4" s="3" t="s">
        <v>31</v>
      </c>
      <c r="I4" s="3" t="s">
        <v>30</v>
      </c>
      <c r="J4" s="3">
        <v>3</v>
      </c>
      <c r="K4" s="3">
        <v>450</v>
      </c>
      <c r="L4" s="3">
        <f t="shared" si="1"/>
        <v>3</v>
      </c>
      <c r="M4" s="3">
        <f t="shared" si="2"/>
        <v>5</v>
      </c>
      <c r="N4" s="13">
        <f t="shared" si="3"/>
        <v>45569</v>
      </c>
    </row>
    <row r="5" spans="1:14" x14ac:dyDescent="0.3">
      <c r="A5" s="3">
        <v>1004</v>
      </c>
      <c r="B5" s="3" t="s">
        <v>16</v>
      </c>
      <c r="C5" s="9">
        <v>45387</v>
      </c>
      <c r="D5" s="3">
        <f t="shared" si="0"/>
        <v>5</v>
      </c>
      <c r="E5" s="4">
        <f>TIME(2,20,897)</f>
        <v>0.10760416666666667</v>
      </c>
      <c r="F5" s="3" t="s">
        <v>17</v>
      </c>
      <c r="G5" s="3" t="s">
        <v>40</v>
      </c>
      <c r="H5" s="3" t="s">
        <v>33</v>
      </c>
      <c r="I5" s="3" t="s">
        <v>32</v>
      </c>
      <c r="J5" s="3">
        <v>5</v>
      </c>
      <c r="K5" s="3">
        <v>1500</v>
      </c>
      <c r="L5" s="3">
        <f t="shared" si="1"/>
        <v>4</v>
      </c>
      <c r="M5" s="3">
        <f t="shared" si="2"/>
        <v>2</v>
      </c>
      <c r="N5" s="13">
        <f t="shared" si="3"/>
        <v>45601</v>
      </c>
    </row>
    <row r="6" spans="1:14" x14ac:dyDescent="0.3">
      <c r="A6" s="3">
        <v>1005</v>
      </c>
      <c r="B6" s="3" t="s">
        <v>19</v>
      </c>
      <c r="C6" s="3" t="s">
        <v>18</v>
      </c>
      <c r="D6" s="3">
        <f t="shared" si="0"/>
        <v>3</v>
      </c>
      <c r="E6" s="4">
        <f>TIME(6,35,678)</f>
        <v>0.28215277777777775</v>
      </c>
      <c r="F6" s="3" t="s">
        <v>8</v>
      </c>
      <c r="G6" s="3" t="s">
        <v>37</v>
      </c>
      <c r="H6" s="3" t="s">
        <v>35</v>
      </c>
      <c r="I6" s="3" t="s">
        <v>34</v>
      </c>
      <c r="J6" s="3">
        <v>2</v>
      </c>
      <c r="K6" s="3">
        <v>1200</v>
      </c>
      <c r="L6" s="3">
        <f t="shared" si="1"/>
        <v>5</v>
      </c>
      <c r="M6" s="3">
        <f t="shared" si="2"/>
        <v>6</v>
      </c>
      <c r="N6" s="13">
        <f t="shared" si="3"/>
        <v>45627</v>
      </c>
    </row>
    <row r="7" spans="1:14" x14ac:dyDescent="0.3">
      <c r="A7" s="3">
        <v>1006</v>
      </c>
      <c r="B7" s="3" t="s">
        <v>7</v>
      </c>
      <c r="C7" s="9">
        <v>45445</v>
      </c>
      <c r="D7" s="3">
        <f t="shared" si="0"/>
        <v>7</v>
      </c>
      <c r="E7" s="4">
        <f>TIME(1,30,155)</f>
        <v>6.429398148148148E-2</v>
      </c>
      <c r="F7" s="3" t="s">
        <v>11</v>
      </c>
      <c r="G7" s="3" t="s">
        <v>38</v>
      </c>
      <c r="H7" s="3" t="s">
        <v>28</v>
      </c>
      <c r="I7" s="3" t="s">
        <v>29</v>
      </c>
      <c r="J7" s="3">
        <v>1</v>
      </c>
      <c r="K7" s="3">
        <v>250</v>
      </c>
      <c r="L7" s="3">
        <f t="shared" si="1"/>
        <v>6</v>
      </c>
      <c r="M7" s="3">
        <f t="shared" si="2"/>
        <v>1</v>
      </c>
      <c r="N7" s="13">
        <f t="shared" si="3"/>
        <v>45659</v>
      </c>
    </row>
    <row r="8" spans="1:14" x14ac:dyDescent="0.3">
      <c r="A8" s="3">
        <v>1007</v>
      </c>
      <c r="B8" s="3" t="s">
        <v>10</v>
      </c>
      <c r="C8" s="9">
        <v>45478</v>
      </c>
      <c r="D8" s="3">
        <f t="shared" si="0"/>
        <v>5</v>
      </c>
      <c r="E8" s="4">
        <f>TIME(3,50,124)</f>
        <v>0.16115740740740742</v>
      </c>
      <c r="F8" s="3" t="s">
        <v>14</v>
      </c>
      <c r="G8" s="3" t="s">
        <v>39</v>
      </c>
      <c r="H8" s="3" t="s">
        <v>28</v>
      </c>
      <c r="I8" s="3" t="s">
        <v>27</v>
      </c>
      <c r="J8" s="3">
        <v>4</v>
      </c>
      <c r="K8" s="3">
        <v>3200</v>
      </c>
      <c r="L8" s="3">
        <f t="shared" si="1"/>
        <v>7</v>
      </c>
      <c r="M8" s="3">
        <f t="shared" si="2"/>
        <v>3</v>
      </c>
      <c r="N8" s="13">
        <f t="shared" si="3"/>
        <v>45693</v>
      </c>
    </row>
    <row r="9" spans="1:14" x14ac:dyDescent="0.3">
      <c r="A9" s="3">
        <v>1008</v>
      </c>
      <c r="B9" s="3" t="s">
        <v>13</v>
      </c>
      <c r="C9" s="9">
        <v>45513</v>
      </c>
      <c r="D9" s="3">
        <f t="shared" si="0"/>
        <v>5</v>
      </c>
      <c r="E9" s="4">
        <f>TIME(1,45,265)</f>
        <v>7.5983796296296299E-2</v>
      </c>
      <c r="F9" s="3" t="s">
        <v>17</v>
      </c>
      <c r="G9" s="3" t="s">
        <v>40</v>
      </c>
      <c r="H9" s="3" t="s">
        <v>28</v>
      </c>
      <c r="I9" s="3" t="s">
        <v>29</v>
      </c>
      <c r="J9" s="3">
        <v>2</v>
      </c>
      <c r="K9" s="3">
        <v>300</v>
      </c>
      <c r="L9" s="3">
        <f t="shared" si="1"/>
        <v>8</v>
      </c>
      <c r="M9" s="3">
        <f t="shared" si="2"/>
        <v>1</v>
      </c>
      <c r="N9" s="13">
        <f t="shared" si="3"/>
        <v>45725</v>
      </c>
    </row>
    <row r="10" spans="1:14" x14ac:dyDescent="0.3">
      <c r="A10" s="3">
        <v>1009</v>
      </c>
      <c r="B10" s="3" t="s">
        <v>16</v>
      </c>
      <c r="C10" s="9">
        <v>45536</v>
      </c>
      <c r="D10" s="3">
        <f t="shared" si="0"/>
        <v>7</v>
      </c>
      <c r="E10" s="4">
        <f>TIME(7,20,897)</f>
        <v>0.31593749999999998</v>
      </c>
      <c r="F10" s="3" t="s">
        <v>8</v>
      </c>
      <c r="G10" s="3" t="s">
        <v>37</v>
      </c>
      <c r="H10" s="3" t="s">
        <v>31</v>
      </c>
      <c r="I10" s="3" t="s">
        <v>30</v>
      </c>
      <c r="J10" s="3">
        <v>1</v>
      </c>
      <c r="K10" s="3">
        <v>300</v>
      </c>
      <c r="L10" s="3">
        <f t="shared" si="1"/>
        <v>9</v>
      </c>
      <c r="M10" s="3">
        <f t="shared" si="2"/>
        <v>7</v>
      </c>
      <c r="N10" s="13">
        <f t="shared" si="3"/>
        <v>45748</v>
      </c>
    </row>
    <row r="11" spans="1:14" x14ac:dyDescent="0.3">
      <c r="A11" s="3">
        <v>1010</v>
      </c>
      <c r="B11" s="3" t="s">
        <v>19</v>
      </c>
      <c r="C11" s="9">
        <v>45575</v>
      </c>
      <c r="D11" s="3">
        <f t="shared" si="0"/>
        <v>4</v>
      </c>
      <c r="E11" s="4">
        <f>TIME(4,35,678)</f>
        <v>0.19881944444444444</v>
      </c>
      <c r="F11" s="3" t="s">
        <v>11</v>
      </c>
      <c r="G11" s="3" t="s">
        <v>38</v>
      </c>
      <c r="H11" s="3" t="s">
        <v>33</v>
      </c>
      <c r="I11" s="3" t="s">
        <v>32</v>
      </c>
      <c r="J11" s="3">
        <v>3</v>
      </c>
      <c r="K11" s="3">
        <v>1800</v>
      </c>
      <c r="L11" s="3">
        <f t="shared" si="1"/>
        <v>10</v>
      </c>
      <c r="M11" s="3">
        <f t="shared" si="2"/>
        <v>4</v>
      </c>
      <c r="N11" s="13">
        <f t="shared" si="3"/>
        <v>45787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C1BD9-1FCB-4243-87AA-BA118E55C8CE}">
  <dimension ref="I3:K5"/>
  <sheetViews>
    <sheetView workbookViewId="0">
      <selection activeCell="F4" sqref="F4"/>
    </sheetView>
  </sheetViews>
  <sheetFormatPr defaultRowHeight="16.5" x14ac:dyDescent="0.3"/>
  <cols>
    <col min="1" max="16384" width="9" style="10"/>
  </cols>
  <sheetData>
    <row r="3" spans="9:11" x14ac:dyDescent="0.3">
      <c r="I3" s="12" t="s">
        <v>51</v>
      </c>
      <c r="J3" s="11"/>
      <c r="K3" s="11"/>
    </row>
    <row r="4" spans="9:11" x14ac:dyDescent="0.3">
      <c r="I4" s="11"/>
      <c r="J4" s="11"/>
      <c r="K4" s="11"/>
    </row>
    <row r="5" spans="9:11" x14ac:dyDescent="0.3">
      <c r="I5" s="11"/>
      <c r="J5" s="11"/>
      <c r="K5" s="11"/>
    </row>
  </sheetData>
  <mergeCells count="1">
    <mergeCell ref="I3:K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3698-8950-48F4-B89F-2D3678214238}">
  <dimension ref="A1:F2"/>
  <sheetViews>
    <sheetView workbookViewId="0">
      <selection activeCell="A15" sqref="A15"/>
    </sheetView>
  </sheetViews>
  <sheetFormatPr defaultRowHeight="16.5" x14ac:dyDescent="0.3"/>
  <cols>
    <col min="1" max="1" width="164.375" customWidth="1"/>
  </cols>
  <sheetData>
    <row r="1" spans="1:6" x14ac:dyDescent="0.3">
      <c r="A1" t="s">
        <v>52</v>
      </c>
    </row>
    <row r="2" spans="1:6" x14ac:dyDescent="0.3">
      <c r="A2" s="2"/>
      <c r="B2" s="2"/>
      <c r="C2" s="2"/>
      <c r="D2" s="2"/>
      <c r="E2" s="2"/>
      <c r="F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vt:lpstr>
      <vt:lpstr>sheet 1</vt:lpstr>
      <vt:lpstr>pivot relationships</vt:lpstr>
      <vt:lpstr>Date &amp;Time</vt:lpstr>
      <vt:lpstr>Dashboard</vt:lpstr>
      <vt:lpstr>justifi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Nandhini M</cp:lastModifiedBy>
  <dcterms:created xsi:type="dcterms:W3CDTF">2026-02-07T17:39:10Z</dcterms:created>
  <dcterms:modified xsi:type="dcterms:W3CDTF">2026-02-08T12:02:23Z</dcterms:modified>
</cp:coreProperties>
</file>